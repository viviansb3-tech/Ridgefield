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xr:revisionPtr revIDLastSave="0" documentId="8_{4E6D4BB3-8178-1D4C-AF8A-6AB9D79259F1}" xr6:coauthVersionLast="47" xr6:coauthVersionMax="47" xr10:uidLastSave="{00000000-0000-0000-0000-000000000000}"/>
  <bookViews>
    <workbookView xWindow="160" yWindow="1000" windowWidth="27640" windowHeight="15780" xr2:uid="{498EBCE0-A343-2949-A0F5-4E64ED774093}"/>
  </bookViews>
  <sheets>
    <sheet name="2026 Jan (2)" sheetId="1" r:id="rId1"/>
  </sheets>
  <externalReferences>
    <externalReference r:id="rId2"/>
  </externalReferences>
  <definedNames>
    <definedName name="Jan_2023">#REF!</definedName>
    <definedName name="_xlnm.Print_Area" localSheetId="0">'2026 Jan (2)'!$B$17:$G$55</definedName>
    <definedName name="_xlnm.Print_Area">#REF!</definedName>
    <definedName name="PRINT_AREA_MI" localSheetId="0">#REF!</definedName>
    <definedName name="PRINT_AREA_MI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CC18" i="1"/>
  <c r="D18" i="1" s="1"/>
  <c r="EF18" i="1"/>
  <c r="E18" i="1" s="1"/>
  <c r="EG18" i="1"/>
  <c r="CC19" i="1"/>
  <c r="D19" i="1" s="1"/>
  <c r="EF19" i="1"/>
  <c r="E19" i="1" s="1"/>
  <c r="EG19" i="1"/>
  <c r="CC20" i="1"/>
  <c r="D20" i="1" s="1"/>
  <c r="G20" i="1" s="1"/>
  <c r="EF20" i="1"/>
  <c r="EG20" i="1"/>
  <c r="CC21" i="1"/>
  <c r="D21" i="1" s="1"/>
  <c r="EF21" i="1"/>
  <c r="E21" i="1" s="1"/>
  <c r="EG21" i="1"/>
  <c r="CC22" i="1"/>
  <c r="D22" i="1" s="1"/>
  <c r="EF22" i="1"/>
  <c r="E22" i="1" s="1"/>
  <c r="EG22" i="1"/>
  <c r="CC23" i="1"/>
  <c r="D23" i="1" s="1"/>
  <c r="EF23" i="1"/>
  <c r="E23" i="1" s="1"/>
  <c r="EG23" i="1"/>
  <c r="CC24" i="1"/>
  <c r="D24" i="1" s="1"/>
  <c r="EF24" i="1"/>
  <c r="CC25" i="1"/>
  <c r="D25" i="1" s="1"/>
  <c r="EF25" i="1"/>
  <c r="EG25" i="1" s="1"/>
  <c r="CC26" i="1"/>
  <c r="EF26" i="1"/>
  <c r="E26" i="1" s="1"/>
  <c r="CC27" i="1"/>
  <c r="D27" i="1" s="1"/>
  <c r="EF27" i="1"/>
  <c r="E27" i="1" s="1"/>
  <c r="EG27" i="1"/>
  <c r="CC28" i="1"/>
  <c r="D28" i="1" s="1"/>
  <c r="EF28" i="1"/>
  <c r="CC29" i="1"/>
  <c r="D29" i="1" s="1"/>
  <c r="EF29" i="1"/>
  <c r="E29" i="1" s="1"/>
  <c r="EG29" i="1"/>
  <c r="CC30" i="1"/>
  <c r="EF30" i="1"/>
  <c r="E30" i="1" s="1"/>
  <c r="CC31" i="1"/>
  <c r="D31" i="1" s="1"/>
  <c r="EF31" i="1"/>
  <c r="E31" i="1" s="1"/>
  <c r="EG31" i="1"/>
  <c r="CC32" i="1"/>
  <c r="EF32" i="1"/>
  <c r="E32" i="1" s="1"/>
  <c r="CC33" i="1"/>
  <c r="EF33" i="1"/>
  <c r="E33" i="1" s="1"/>
  <c r="CC34" i="1"/>
  <c r="EF34" i="1"/>
  <c r="E34" i="1" s="1"/>
  <c r="CC35" i="1"/>
  <c r="EF35" i="1"/>
  <c r="E35" i="1" s="1"/>
  <c r="CC36" i="1"/>
  <c r="EF36" i="1"/>
  <c r="E36" i="1" s="1"/>
  <c r="CC38" i="1"/>
  <c r="EF38" i="1"/>
  <c r="C40" i="1"/>
  <c r="G41" i="1"/>
  <c r="CC41" i="1"/>
  <c r="EF41" i="1"/>
  <c r="EG41" i="1"/>
  <c r="CC43" i="1"/>
  <c r="EF43" i="1"/>
  <c r="EG43" i="1"/>
  <c r="CC44" i="1"/>
  <c r="EF44" i="1"/>
  <c r="EG44" i="1" s="1"/>
  <c r="CC46" i="1"/>
  <c r="EF46" i="1"/>
  <c r="CC48" i="1"/>
  <c r="EF48" i="1"/>
  <c r="EG48" i="1" s="1"/>
  <c r="CC49" i="1"/>
  <c r="EF49" i="1"/>
  <c r="EG49" i="1" s="1"/>
  <c r="CC50" i="1"/>
  <c r="EF50" i="1"/>
  <c r="EG50" i="1"/>
  <c r="CC52" i="1"/>
  <c r="EF52" i="1"/>
  <c r="CC53" i="1"/>
  <c r="EF53" i="1"/>
  <c r="EG46" i="1" l="1"/>
  <c r="EG52" i="1"/>
  <c r="EG53" i="1"/>
  <c r="E24" i="1"/>
  <c r="EG24" i="1"/>
  <c r="D26" i="1"/>
  <c r="EG26" i="1"/>
  <c r="G18" i="1"/>
  <c r="G19" i="1"/>
  <c r="G21" i="1"/>
  <c r="G22" i="1"/>
  <c r="G23" i="1"/>
  <c r="G24" i="1"/>
  <c r="G25" i="1"/>
  <c r="G26" i="1"/>
  <c r="G27" i="1"/>
  <c r="E28" i="1"/>
  <c r="EG28" i="1"/>
  <c r="G29" i="1"/>
  <c r="EG30" i="1"/>
  <c r="D30" i="1"/>
  <c r="G31" i="1"/>
  <c r="EG32" i="1"/>
  <c r="D32" i="1"/>
  <c r="D33" i="1"/>
  <c r="EG33" i="1"/>
  <c r="EG34" i="1"/>
  <c r="D34" i="1"/>
  <c r="D35" i="1"/>
  <c r="EG35" i="1"/>
  <c r="D36" i="1"/>
  <c r="EG36" i="1"/>
  <c r="D38" i="1"/>
  <c r="G38" i="1" s="1"/>
  <c r="EG38" i="1"/>
  <c r="G30" i="1" l="1"/>
  <c r="G32" i="1"/>
  <c r="G33" i="1"/>
  <c r="G34" i="1"/>
  <c r="G35" i="1"/>
  <c r="G36" i="1"/>
  <c r="G28" i="1"/>
</calcChain>
</file>

<file path=xl/sharedStrings.xml><?xml version="1.0" encoding="utf-8"?>
<sst xmlns="http://schemas.openxmlformats.org/spreadsheetml/2006/main" count="240" uniqueCount="119">
  <si>
    <t>Total</t>
  </si>
  <si>
    <t>Martha</t>
  </si>
  <si>
    <t>Jenette</t>
  </si>
  <si>
    <t>Simon</t>
  </si>
  <si>
    <t>Isak</t>
  </si>
  <si>
    <t>Admin</t>
  </si>
  <si>
    <t>Sanushka</t>
  </si>
  <si>
    <t>Mila</t>
  </si>
  <si>
    <t>Charl</t>
  </si>
  <si>
    <t>Tobie</t>
  </si>
  <si>
    <t>Belinda</t>
  </si>
  <si>
    <t>Stage 5-6</t>
  </si>
  <si>
    <t>Stage 3-4</t>
  </si>
  <si>
    <t>Geraldine</t>
  </si>
  <si>
    <t>Lerato</t>
  </si>
  <si>
    <t>Stage 1-2</t>
  </si>
  <si>
    <t>PS 6 periods?</t>
  </si>
  <si>
    <t xml:space="preserve"> </t>
  </si>
  <si>
    <t>Elzette</t>
  </si>
  <si>
    <t>Bio</t>
  </si>
  <si>
    <t>Rev</t>
  </si>
  <si>
    <t>Bus/Acc</t>
  </si>
  <si>
    <t>DOUBLE PERIODS PLEASE</t>
  </si>
  <si>
    <t>Chino</t>
  </si>
  <si>
    <t>Phys/Chem</t>
  </si>
  <si>
    <t xml:space="preserve">Johann (CAM)  </t>
  </si>
  <si>
    <t>Math</t>
  </si>
  <si>
    <t>M</t>
  </si>
  <si>
    <t>Liza Oosthuizen</t>
  </si>
  <si>
    <t>French</t>
  </si>
  <si>
    <t>A</t>
  </si>
  <si>
    <t>Timothy</t>
  </si>
  <si>
    <t>Eng AS</t>
  </si>
  <si>
    <t>Tertius</t>
  </si>
  <si>
    <t>Afr/LO</t>
  </si>
  <si>
    <t>C</t>
  </si>
  <si>
    <t>Vivian</t>
  </si>
  <si>
    <t>Nicoleen</t>
  </si>
  <si>
    <t>Acc</t>
  </si>
  <si>
    <t>Andiswa</t>
  </si>
  <si>
    <t>Business/LO</t>
  </si>
  <si>
    <t>DOUBLE PERIODS PLEASE Math gr8,9 &amp; 10</t>
  </si>
  <si>
    <t>Technology? Gr10 Math Lit</t>
  </si>
  <si>
    <t>Faith</t>
  </si>
  <si>
    <t>Math Lit/CS</t>
  </si>
  <si>
    <t>Joseph</t>
  </si>
  <si>
    <t>S</t>
  </si>
  <si>
    <t>Janine</t>
  </si>
  <si>
    <t>P</t>
  </si>
  <si>
    <t>Drop Geo &amp; Tech</t>
  </si>
  <si>
    <t xml:space="preserve">     </t>
  </si>
  <si>
    <t>New</t>
  </si>
  <si>
    <t>His</t>
  </si>
  <si>
    <t>Nadia</t>
  </si>
  <si>
    <t>Afr</t>
  </si>
  <si>
    <t>Therese</t>
  </si>
  <si>
    <t>Afr/Tourism</t>
  </si>
  <si>
    <t>Petrus</t>
  </si>
  <si>
    <t>LO/Tech</t>
  </si>
  <si>
    <t>Gideon</t>
  </si>
  <si>
    <t>Eng</t>
  </si>
  <si>
    <t>Penny</t>
  </si>
  <si>
    <t>Tour</t>
  </si>
  <si>
    <t>Bus</t>
  </si>
  <si>
    <t>LS</t>
  </si>
  <si>
    <t>CAT</t>
  </si>
  <si>
    <t>PS</t>
  </si>
  <si>
    <t>Mlit</t>
  </si>
  <si>
    <t>Mat</t>
  </si>
  <si>
    <t>LO</t>
  </si>
  <si>
    <t>Tourism</t>
  </si>
  <si>
    <t>Tec</t>
  </si>
  <si>
    <t>SS</t>
  </si>
  <si>
    <t>NS</t>
  </si>
  <si>
    <t>EMS</t>
  </si>
  <si>
    <t>CA</t>
  </si>
  <si>
    <t>Geo</t>
  </si>
  <si>
    <t>CS</t>
  </si>
  <si>
    <t>Phy</t>
  </si>
  <si>
    <t>Che</t>
  </si>
  <si>
    <t>Fre</t>
  </si>
  <si>
    <t>hrs</t>
  </si>
  <si>
    <t>Per</t>
  </si>
  <si>
    <t>Staff</t>
  </si>
  <si>
    <t>Subjects</t>
  </si>
  <si>
    <t>Total All</t>
  </si>
  <si>
    <t>Total CAPS</t>
  </si>
  <si>
    <t>G12</t>
  </si>
  <si>
    <t>G11</t>
  </si>
  <si>
    <t>Gr10</t>
  </si>
  <si>
    <t>Gr9</t>
  </si>
  <si>
    <t>Gr8</t>
  </si>
  <si>
    <t>Gr12</t>
  </si>
  <si>
    <t>Gr11</t>
  </si>
  <si>
    <t>Gr7</t>
  </si>
  <si>
    <t>Prim</t>
  </si>
  <si>
    <t>Nat</t>
  </si>
  <si>
    <t>Cam</t>
  </si>
  <si>
    <t>CAPS FET Phase</t>
  </si>
  <si>
    <t>CAPS Snr Phase</t>
  </si>
  <si>
    <t>Tot</t>
  </si>
  <si>
    <t>Cambridge AS</t>
  </si>
  <si>
    <t>Cambridge IGCSE</t>
  </si>
  <si>
    <t>Periods</t>
  </si>
  <si>
    <t>RIDGEFIELD STAFF SALARIES 2025</t>
  </si>
  <si>
    <t>Gladys</t>
  </si>
  <si>
    <t xml:space="preserve">TOTAL  </t>
  </si>
  <si>
    <t>Annemarie</t>
  </si>
  <si>
    <t>Anette</t>
  </si>
  <si>
    <t>Ingrid</t>
  </si>
  <si>
    <t xml:space="preserve">Johann </t>
  </si>
  <si>
    <t>Liza</t>
  </si>
  <si>
    <t>Patrick</t>
  </si>
  <si>
    <t>Ruth</t>
  </si>
  <si>
    <t>Total  periods</t>
  </si>
  <si>
    <t>National
Periods</t>
  </si>
  <si>
    <t>Cambridge Periods</t>
  </si>
  <si>
    <t xml:space="preserve">Staff Timetables </t>
  </si>
  <si>
    <t>RIDGEFIELD STAFF SALARIES JAN, FEB &amp; MARCH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</si>
</sst>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"/>
    <numFmt numFmtId="166" formatCode="0_)"/>
    <numFmt numFmtId="167" formatCode="_-&quot;R&quot;* #,##0.00_-;\-&quot;R&quot;* #,##0.00_-;_-&quot;R&quot;* &quot;-&quot;??_-;_-@_-"/>
    <numFmt numFmtId="169" formatCode="0.0_)"/>
  </numFmts>
  <fonts count="26">
    <font>
      <sz val="12"/>
      <name val="Helv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12"/>
      <color indexed="12"/>
      <name val="Helv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9" tint="0.59999389629810485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sz val="10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3" tint="0.7999816888943144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3" tint="0.79998168889431442"/>
      <name val="Calibri"/>
      <family val="2"/>
      <scheme val="minor"/>
    </font>
    <font>
      <b/>
      <sz val="9"/>
      <name val="Calibri"/>
      <family val="2"/>
      <scheme val="minor"/>
    </font>
    <font>
      <sz val="16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3B60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164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51">
    <xf numFmtId="164" fontId="0" fillId="0" borderId="0" xfId="0"/>
    <xf numFmtId="164" fontId="2" fillId="0" borderId="0" xfId="0" applyFont="1" applyAlignment="1">
      <alignment horizontal="center" vertical="center"/>
    </xf>
    <xf numFmtId="164" fontId="2" fillId="0" borderId="0" xfId="0" applyFont="1" applyAlignment="1">
      <alignment horizontal="left" vertical="center"/>
    </xf>
    <xf numFmtId="164" fontId="3" fillId="0" borderId="0" xfId="0" applyFont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vertical="center"/>
    </xf>
    <xf numFmtId="167" fontId="9" fillId="8" borderId="1" xfId="0" applyNumberFormat="1" applyFont="1" applyFill="1" applyBorder="1" applyAlignment="1">
      <alignment vertical="center"/>
    </xf>
    <xf numFmtId="164" fontId="3" fillId="8" borderId="0" xfId="0" applyFont="1" applyFill="1" applyAlignment="1">
      <alignment horizontal="left" vertical="center"/>
    </xf>
    <xf numFmtId="164" fontId="10" fillId="7" borderId="1" xfId="0" applyFont="1" applyFill="1" applyBorder="1" applyAlignment="1">
      <alignment horizontal="center" vertical="center" textRotation="90"/>
    </xf>
    <xf numFmtId="164" fontId="3" fillId="3" borderId="1" xfId="0" applyFont="1" applyFill="1" applyBorder="1" applyAlignment="1">
      <alignment horizontal="center" vertical="center"/>
    </xf>
    <xf numFmtId="164" fontId="3" fillId="4" borderId="1" xfId="0" applyFont="1" applyFill="1" applyBorder="1" applyAlignment="1">
      <alignment horizontal="center" vertical="center"/>
    </xf>
    <xf numFmtId="164" fontId="11" fillId="3" borderId="1" xfId="0" applyFont="1" applyFill="1" applyBorder="1" applyAlignment="1">
      <alignment horizontal="center" vertical="center"/>
    </xf>
    <xf numFmtId="164" fontId="7" fillId="6" borderId="1" xfId="0" applyFont="1" applyFill="1" applyBorder="1" applyAlignment="1">
      <alignment horizontal="center" vertical="center"/>
    </xf>
    <xf numFmtId="164" fontId="7" fillId="7" borderId="1" xfId="0" applyFont="1" applyFill="1" applyBorder="1" applyAlignment="1">
      <alignment horizontal="center" vertical="center"/>
    </xf>
    <xf numFmtId="164" fontId="8" fillId="6" borderId="1" xfId="0" applyFont="1" applyFill="1" applyBorder="1" applyAlignment="1">
      <alignment horizontal="center" vertical="center"/>
    </xf>
    <xf numFmtId="164" fontId="8" fillId="7" borderId="1" xfId="0" applyFont="1" applyFill="1" applyBorder="1" applyAlignment="1">
      <alignment horizontal="center" vertical="center"/>
    </xf>
    <xf numFmtId="0" fontId="6" fillId="9" borderId="1" xfId="1" applyFont="1" applyFill="1" applyBorder="1" applyAlignment="1" applyProtection="1">
      <alignment horizontal="left" vertical="center"/>
    </xf>
    <xf numFmtId="1" fontId="4" fillId="9" borderId="1" xfId="0" applyNumberFormat="1" applyFont="1" applyFill="1" applyBorder="1" applyAlignment="1">
      <alignment horizontal="center" vertical="center"/>
    </xf>
    <xf numFmtId="166" fontId="2" fillId="9" borderId="1" xfId="1" applyNumberFormat="1" applyFont="1" applyFill="1" applyBorder="1" applyAlignment="1" applyProtection="1">
      <alignment horizontal="center" vertical="center"/>
    </xf>
    <xf numFmtId="164" fontId="3" fillId="9" borderId="1" xfId="0" applyFont="1" applyFill="1" applyBorder="1" applyAlignment="1">
      <alignment horizontal="center" vertical="center"/>
    </xf>
    <xf numFmtId="164" fontId="3" fillId="11" borderId="1" xfId="0" applyFont="1" applyFill="1" applyBorder="1" applyAlignment="1">
      <alignment horizontal="center" vertical="center"/>
    </xf>
    <xf numFmtId="164" fontId="2" fillId="12" borderId="1" xfId="0" applyFont="1" applyFill="1" applyBorder="1" applyAlignment="1">
      <alignment horizontal="left" vertical="center"/>
    </xf>
    <xf numFmtId="164" fontId="3" fillId="10" borderId="3" xfId="0" applyFont="1" applyFill="1" applyBorder="1" applyAlignment="1">
      <alignment horizontal="left" vertical="center"/>
    </xf>
    <xf numFmtId="164" fontId="10" fillId="10" borderId="1" xfId="0" applyFont="1" applyFill="1" applyBorder="1" applyAlignment="1">
      <alignment horizontal="center" vertical="center" textRotation="90"/>
    </xf>
    <xf numFmtId="164" fontId="2" fillId="3" borderId="1" xfId="0" applyFont="1" applyFill="1" applyBorder="1" applyAlignment="1">
      <alignment horizontal="center" vertical="center"/>
    </xf>
    <xf numFmtId="164" fontId="2" fillId="4" borderId="1" xfId="0" applyFont="1" applyFill="1" applyBorder="1" applyAlignment="1">
      <alignment horizontal="center" vertical="center"/>
    </xf>
    <xf numFmtId="164" fontId="5" fillId="3" borderId="1" xfId="0" applyFont="1" applyFill="1" applyBorder="1" applyAlignment="1">
      <alignment horizontal="center" vertical="center"/>
    </xf>
    <xf numFmtId="164" fontId="2" fillId="10" borderId="3" xfId="0" applyFont="1" applyFill="1" applyBorder="1" applyAlignment="1">
      <alignment horizontal="center" vertical="center"/>
    </xf>
    <xf numFmtId="0" fontId="13" fillId="13" borderId="1" xfId="1" applyFont="1" applyFill="1" applyBorder="1" applyAlignment="1" applyProtection="1">
      <alignment horizontal="left" vertical="center"/>
    </xf>
    <xf numFmtId="164" fontId="5" fillId="8" borderId="1" xfId="0" applyFont="1" applyFill="1" applyBorder="1" applyAlignment="1">
      <alignment horizontal="left" vertical="center"/>
    </xf>
    <xf numFmtId="164" fontId="3" fillId="0" borderId="0" xfId="0" applyFont="1" applyAlignment="1">
      <alignment horizontal="left" vertical="center"/>
    </xf>
    <xf numFmtId="164" fontId="2" fillId="14" borderId="0" xfId="0" applyFont="1" applyFill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2" fillId="15" borderId="4" xfId="1" applyNumberFormat="1" applyFont="1" applyFill="1" applyBorder="1" applyAlignment="1" applyProtection="1">
      <alignment horizontal="center" vertical="center"/>
    </xf>
    <xf numFmtId="1" fontId="2" fillId="3" borderId="4" xfId="1" applyNumberFormat="1" applyFont="1" applyFill="1" applyBorder="1" applyAlignment="1" applyProtection="1">
      <alignment horizontal="center" vertical="center"/>
    </xf>
    <xf numFmtId="166" fontId="2" fillId="16" borderId="3" xfId="1" applyNumberFormat="1" applyFont="1" applyFill="1" applyBorder="1" applyAlignment="1" applyProtection="1">
      <alignment horizontal="center" vertical="center"/>
    </xf>
    <xf numFmtId="0" fontId="13" fillId="17" borderId="1" xfId="1" applyFont="1" applyFill="1" applyBorder="1" applyAlignment="1" applyProtection="1">
      <alignment horizontal="left" vertical="center"/>
    </xf>
    <xf numFmtId="164" fontId="13" fillId="18" borderId="0" xfId="0" applyFont="1" applyFill="1" applyAlignment="1">
      <alignment horizontal="left" vertical="center"/>
    </xf>
    <xf numFmtId="164" fontId="10" fillId="14" borderId="1" xfId="0" applyFont="1" applyFill="1" applyBorder="1" applyAlignment="1">
      <alignment horizontal="center" vertical="center" textRotation="90"/>
    </xf>
    <xf numFmtId="166" fontId="4" fillId="2" borderId="1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 wrapText="1"/>
    </xf>
    <xf numFmtId="166" fontId="2" fillId="3" borderId="4" xfId="1" applyNumberFormat="1" applyFont="1" applyFill="1" applyBorder="1" applyAlignment="1" applyProtection="1">
      <alignment horizontal="center" vertical="center"/>
    </xf>
    <xf numFmtId="166" fontId="2" fillId="16" borderId="4" xfId="1" applyNumberFormat="1" applyFont="1" applyFill="1" applyBorder="1" applyAlignment="1" applyProtection="1">
      <alignment horizontal="center" vertical="center"/>
    </xf>
    <xf numFmtId="164" fontId="1" fillId="14" borderId="1" xfId="0" applyFont="1" applyFill="1" applyBorder="1" applyAlignment="1">
      <alignment horizontal="center" vertical="center" textRotation="90"/>
    </xf>
    <xf numFmtId="164" fontId="10" fillId="19" borderId="2" xfId="0" applyFont="1" applyFill="1" applyBorder="1" applyAlignment="1">
      <alignment horizontal="center" vertical="center" textRotation="90"/>
    </xf>
    <xf numFmtId="166" fontId="5" fillId="3" borderId="2" xfId="0" applyNumberFormat="1" applyFont="1" applyFill="1" applyBorder="1" applyAlignment="1">
      <alignment horizontal="center" vertical="center" wrapText="1"/>
    </xf>
    <xf numFmtId="164" fontId="2" fillId="18" borderId="0" xfId="0" applyFont="1" applyFill="1" applyAlignment="1">
      <alignment horizontal="center" vertical="center"/>
    </xf>
    <xf numFmtId="166" fontId="2" fillId="15" borderId="4" xfId="1" applyNumberFormat="1" applyFont="1" applyFill="1" applyBorder="1" applyAlignment="1" applyProtection="1">
      <alignment horizontal="center" vertical="center"/>
    </xf>
    <xf numFmtId="0" fontId="13" fillId="19" borderId="1" xfId="1" applyFont="1" applyFill="1" applyBorder="1" applyAlignment="1" applyProtection="1">
      <alignment horizontal="left" vertical="center"/>
    </xf>
    <xf numFmtId="164" fontId="5" fillId="8" borderId="5" xfId="0" applyFont="1" applyFill="1" applyBorder="1" applyAlignment="1">
      <alignment horizontal="left" vertical="center"/>
    </xf>
    <xf numFmtId="164" fontId="5" fillId="20" borderId="5" xfId="0" applyFont="1" applyFill="1" applyBorder="1" applyAlignment="1">
      <alignment horizontal="left" vertical="center"/>
    </xf>
    <xf numFmtId="164" fontId="10" fillId="19" borderId="6" xfId="0" applyFont="1" applyFill="1" applyBorder="1" applyAlignment="1">
      <alignment horizontal="center" vertical="center" textRotation="90"/>
    </xf>
    <xf numFmtId="164" fontId="4" fillId="0" borderId="0" xfId="0" applyFont="1" applyAlignment="1">
      <alignment horizontal="left" vertical="center"/>
    </xf>
    <xf numFmtId="166" fontId="14" fillId="7" borderId="1" xfId="0" applyNumberFormat="1" applyFont="1" applyFill="1" applyBorder="1" applyAlignment="1">
      <alignment horizontal="center" vertical="center"/>
    </xf>
    <xf numFmtId="164" fontId="13" fillId="2" borderId="3" xfId="0" applyFont="1" applyFill="1" applyBorder="1" applyAlignment="1">
      <alignment horizontal="left" vertical="center" wrapText="1"/>
    </xf>
    <xf numFmtId="164" fontId="2" fillId="0" borderId="0" xfId="0" applyFont="1" applyAlignment="1">
      <alignment horizontal="center" vertical="center" wrapText="1"/>
    </xf>
    <xf numFmtId="164" fontId="13" fillId="21" borderId="3" xfId="0" applyFont="1" applyFill="1" applyBorder="1" applyAlignment="1">
      <alignment horizontal="left" vertical="center"/>
    </xf>
    <xf numFmtId="164" fontId="15" fillId="19" borderId="6" xfId="0" applyFont="1" applyFill="1" applyBorder="1" applyAlignment="1">
      <alignment horizontal="center" vertical="center" textRotation="255"/>
    </xf>
    <xf numFmtId="169" fontId="5" fillId="6" borderId="1" xfId="0" applyNumberFormat="1" applyFont="1" applyFill="1" applyBorder="1" applyAlignment="1">
      <alignment horizontal="center" vertical="center"/>
    </xf>
    <xf numFmtId="169" fontId="5" fillId="7" borderId="1" xfId="0" applyNumberFormat="1" applyFont="1" applyFill="1" applyBorder="1" applyAlignment="1">
      <alignment horizontal="center" vertical="center"/>
    </xf>
    <xf numFmtId="164" fontId="2" fillId="18" borderId="0" xfId="0" applyFont="1" applyFill="1" applyAlignment="1">
      <alignment horizontal="center" vertical="center" wrapText="1"/>
    </xf>
    <xf numFmtId="164" fontId="5" fillId="6" borderId="3" xfId="0" applyFont="1" applyFill="1" applyBorder="1" applyAlignment="1">
      <alignment horizontal="left" vertical="center"/>
    </xf>
    <xf numFmtId="166" fontId="4" fillId="22" borderId="1" xfId="0" applyNumberFormat="1" applyFont="1" applyFill="1" applyBorder="1" applyAlignment="1">
      <alignment horizontal="center" vertical="center"/>
    </xf>
    <xf numFmtId="166" fontId="4" fillId="22" borderId="2" xfId="0" applyNumberFormat="1" applyFont="1" applyFill="1" applyBorder="1" applyAlignment="1">
      <alignment horizontal="center" vertical="center"/>
    </xf>
    <xf numFmtId="164" fontId="13" fillId="14" borderId="3" xfId="0" applyFont="1" applyFill="1" applyBorder="1" applyAlignment="1">
      <alignment horizontal="left" vertical="center"/>
    </xf>
    <xf numFmtId="166" fontId="2" fillId="15" borderId="1" xfId="1" applyNumberFormat="1" applyFont="1" applyFill="1" applyBorder="1" applyAlignment="1" applyProtection="1">
      <alignment horizontal="center" vertical="center"/>
    </xf>
    <xf numFmtId="166" fontId="2" fillId="3" borderId="1" xfId="1" applyNumberFormat="1" applyFont="1" applyFill="1" applyBorder="1" applyAlignment="1" applyProtection="1">
      <alignment horizontal="center" vertical="center"/>
    </xf>
    <xf numFmtId="164" fontId="5" fillId="23" borderId="3" xfId="0" applyFont="1" applyFill="1" applyBorder="1" applyAlignment="1">
      <alignment horizontal="left" vertical="center" wrapText="1"/>
    </xf>
    <xf numFmtId="0" fontId="13" fillId="19" borderId="7" xfId="1" applyFont="1" applyFill="1" applyBorder="1" applyAlignment="1" applyProtection="1">
      <alignment horizontal="left" vertical="center"/>
    </xf>
    <xf numFmtId="164" fontId="13" fillId="18" borderId="1" xfId="0" applyFont="1" applyFill="1" applyBorder="1" applyAlignment="1">
      <alignment horizontal="left" vertical="center"/>
    </xf>
    <xf numFmtId="164" fontId="1" fillId="24" borderId="1" xfId="0" applyFont="1" applyFill="1" applyBorder="1" applyAlignment="1">
      <alignment horizontal="center" vertical="center" textRotation="90"/>
    </xf>
    <xf numFmtId="166" fontId="2" fillId="8" borderId="2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6" fillId="8" borderId="2" xfId="0" applyNumberFormat="1" applyFont="1" applyFill="1" applyBorder="1" applyAlignment="1">
      <alignment horizontal="center" vertical="center"/>
    </xf>
    <xf numFmtId="164" fontId="13" fillId="13" borderId="1" xfId="0" applyFont="1" applyFill="1" applyBorder="1" applyAlignment="1">
      <alignment horizontal="left" vertical="center"/>
    </xf>
    <xf numFmtId="164" fontId="13" fillId="21" borderId="1" xfId="0" applyFont="1" applyFill="1" applyBorder="1" applyAlignment="1">
      <alignment horizontal="left" vertical="center"/>
    </xf>
    <xf numFmtId="164" fontId="16" fillId="24" borderId="1" xfId="0" applyFont="1" applyFill="1" applyBorder="1" applyAlignment="1">
      <alignment horizontal="center" vertical="center" textRotation="90"/>
    </xf>
    <xf numFmtId="0" fontId="13" fillId="2" borderId="1" xfId="1" applyFont="1" applyFill="1" applyBorder="1" applyAlignment="1" applyProtection="1">
      <alignment horizontal="left" vertical="center"/>
    </xf>
    <xf numFmtId="164" fontId="16" fillId="24" borderId="1" xfId="0" applyFont="1" applyFill="1" applyBorder="1" applyAlignment="1">
      <alignment horizontal="center" vertical="center" textRotation="255"/>
    </xf>
    <xf numFmtId="0" fontId="13" fillId="13" borderId="2" xfId="1" applyFont="1" applyFill="1" applyBorder="1" applyAlignment="1" applyProtection="1">
      <alignment horizontal="left" vertical="center"/>
    </xf>
    <xf numFmtId="164" fontId="13" fillId="14" borderId="0" xfId="0" applyFont="1" applyFill="1" applyAlignment="1">
      <alignment horizontal="left" vertical="center"/>
    </xf>
    <xf numFmtId="164" fontId="10" fillId="19" borderId="7" xfId="0" applyFont="1" applyFill="1" applyBorder="1" applyAlignment="1">
      <alignment horizontal="center" vertical="center" textRotation="90"/>
    </xf>
    <xf numFmtId="164" fontId="3" fillId="2" borderId="0" xfId="0" applyFont="1" applyFill="1" applyAlignment="1">
      <alignment horizontal="center" vertical="center"/>
    </xf>
    <xf numFmtId="0" fontId="17" fillId="13" borderId="1" xfId="1" applyFont="1" applyFill="1" applyBorder="1" applyAlignment="1" applyProtection="1">
      <alignment horizontal="left" vertical="center"/>
    </xf>
    <xf numFmtId="164" fontId="17" fillId="18" borderId="1" xfId="0" applyFont="1" applyFill="1" applyBorder="1" applyAlignment="1">
      <alignment horizontal="left" vertical="center"/>
    </xf>
    <xf numFmtId="164" fontId="13" fillId="14" borderId="1" xfId="0" applyFont="1" applyFill="1" applyBorder="1" applyAlignment="1">
      <alignment horizontal="center" vertical="center"/>
    </xf>
    <xf numFmtId="164" fontId="4" fillId="0" borderId="0" xfId="0" applyFont="1" applyAlignment="1">
      <alignment horizontal="center" vertical="center" wrapText="1"/>
    </xf>
    <xf numFmtId="164" fontId="9" fillId="19" borderId="2" xfId="0" applyFont="1" applyFill="1" applyBorder="1" applyAlignment="1">
      <alignment horizontal="center" vertical="center" wrapText="1"/>
    </xf>
    <xf numFmtId="164" fontId="14" fillId="19" borderId="1" xfId="0" applyFont="1" applyFill="1" applyBorder="1" applyAlignment="1">
      <alignment horizontal="center" vertical="center"/>
    </xf>
    <xf numFmtId="164" fontId="14" fillId="19" borderId="1" xfId="0" applyFont="1" applyFill="1" applyBorder="1" applyAlignment="1">
      <alignment vertical="center"/>
    </xf>
    <xf numFmtId="164" fontId="18" fillId="21" borderId="1" xfId="0" applyFont="1" applyFill="1" applyBorder="1" applyAlignment="1">
      <alignment horizontal="center" vertical="center"/>
    </xf>
    <xf numFmtId="164" fontId="14" fillId="21" borderId="1" xfId="0" applyFont="1" applyFill="1" applyBorder="1" applyAlignment="1">
      <alignment horizontal="center" vertical="center"/>
    </xf>
    <xf numFmtId="164" fontId="4" fillId="0" borderId="1" xfId="0" applyFont="1" applyBorder="1" applyAlignment="1">
      <alignment horizontal="center" vertical="center" wrapText="1"/>
    </xf>
    <xf numFmtId="164" fontId="18" fillId="13" borderId="2" xfId="0" applyFont="1" applyFill="1" applyBorder="1" applyAlignment="1">
      <alignment horizontal="center" vertical="center" wrapText="1"/>
    </xf>
    <xf numFmtId="164" fontId="18" fillId="13" borderId="1" xfId="0" applyFont="1" applyFill="1" applyBorder="1" applyAlignment="1">
      <alignment horizontal="center" vertical="center"/>
    </xf>
    <xf numFmtId="164" fontId="9" fillId="19" borderId="7" xfId="0" applyFont="1" applyFill="1" applyBorder="1" applyAlignment="1">
      <alignment horizontal="center" vertical="center" wrapText="1"/>
    </xf>
    <xf numFmtId="164" fontId="19" fillId="19" borderId="3" xfId="0" applyFont="1" applyFill="1" applyBorder="1" applyAlignment="1">
      <alignment horizontal="center" vertical="center"/>
    </xf>
    <xf numFmtId="164" fontId="19" fillId="19" borderId="8" xfId="0" applyFont="1" applyFill="1" applyBorder="1" applyAlignment="1">
      <alignment horizontal="center" vertical="center"/>
    </xf>
    <xf numFmtId="164" fontId="19" fillId="19" borderId="9" xfId="0" applyFont="1" applyFill="1" applyBorder="1" applyAlignment="1">
      <alignment horizontal="center" vertical="center"/>
    </xf>
    <xf numFmtId="164" fontId="19" fillId="21" borderId="3" xfId="0" applyFont="1" applyFill="1" applyBorder="1" applyAlignment="1">
      <alignment horizontal="center" vertical="center"/>
    </xf>
    <xf numFmtId="164" fontId="19" fillId="21" borderId="8" xfId="0" applyFont="1" applyFill="1" applyBorder="1" applyAlignment="1">
      <alignment horizontal="center" vertical="center"/>
    </xf>
    <xf numFmtId="164" fontId="19" fillId="21" borderId="9" xfId="0" applyFont="1" applyFill="1" applyBorder="1" applyAlignment="1">
      <alignment horizontal="center" vertical="center"/>
    </xf>
    <xf numFmtId="164" fontId="2" fillId="0" borderId="1" xfId="0" applyFont="1" applyBorder="1" applyAlignment="1">
      <alignment horizontal="center" vertical="center"/>
    </xf>
    <xf numFmtId="164" fontId="18" fillId="13" borderId="7" xfId="0" applyFont="1" applyFill="1" applyBorder="1" applyAlignment="1">
      <alignment horizontal="center" vertical="center" wrapText="1"/>
    </xf>
    <xf numFmtId="164" fontId="20" fillId="13" borderId="4" xfId="0" applyFont="1" applyFill="1" applyBorder="1" applyAlignment="1">
      <alignment horizontal="center" vertical="center" wrapText="1"/>
    </xf>
    <xf numFmtId="164" fontId="20" fillId="13" borderId="10" xfId="0" applyFont="1" applyFill="1" applyBorder="1" applyAlignment="1">
      <alignment horizontal="center" vertical="center" wrapText="1"/>
    </xf>
    <xf numFmtId="164" fontId="20" fillId="13" borderId="11" xfId="0" applyFont="1" applyFill="1" applyBorder="1" applyAlignment="1">
      <alignment horizontal="center" vertical="center" wrapText="1"/>
    </xf>
    <xf numFmtId="164" fontId="9" fillId="19" borderId="0" xfId="0" applyFont="1" applyFill="1" applyAlignment="1">
      <alignment horizontal="center" vertical="center"/>
    </xf>
    <xf numFmtId="164" fontId="19" fillId="19" borderId="3" xfId="0" applyFont="1" applyFill="1" applyBorder="1" applyAlignment="1">
      <alignment horizontal="center" vertical="center"/>
    </xf>
    <xf numFmtId="164" fontId="21" fillId="21" borderId="3" xfId="0" applyFont="1" applyFill="1" applyBorder="1" applyAlignment="1">
      <alignment horizontal="center" vertical="center"/>
    </xf>
    <xf numFmtId="164" fontId="21" fillId="21" borderId="8" xfId="0" applyFont="1" applyFill="1" applyBorder="1" applyAlignment="1">
      <alignment horizontal="center" vertical="center"/>
    </xf>
    <xf numFmtId="164" fontId="21" fillId="21" borderId="9" xfId="0" applyFont="1" applyFill="1" applyBorder="1" applyAlignment="1">
      <alignment horizontal="center" vertical="center"/>
    </xf>
    <xf numFmtId="164" fontId="22" fillId="21" borderId="3" xfId="0" applyFont="1" applyFill="1" applyBorder="1" applyAlignment="1">
      <alignment horizontal="center" vertical="center"/>
    </xf>
    <xf numFmtId="164" fontId="22" fillId="21" borderId="8" xfId="0" applyFont="1" applyFill="1" applyBorder="1" applyAlignment="1">
      <alignment horizontal="center" vertical="center"/>
    </xf>
    <xf numFmtId="164" fontId="22" fillId="21" borderId="9" xfId="0" applyFont="1" applyFill="1" applyBorder="1" applyAlignment="1">
      <alignment horizontal="center" vertical="center"/>
    </xf>
    <xf numFmtId="164" fontId="23" fillId="13" borderId="3" xfId="0" applyFont="1" applyFill="1" applyBorder="1" applyAlignment="1">
      <alignment horizontal="center" vertical="center"/>
    </xf>
    <xf numFmtId="164" fontId="23" fillId="13" borderId="8" xfId="0" applyFont="1" applyFill="1" applyBorder="1" applyAlignment="1">
      <alignment horizontal="center" vertical="center"/>
    </xf>
    <xf numFmtId="164" fontId="23" fillId="13" borderId="9" xfId="0" applyFont="1" applyFill="1" applyBorder="1" applyAlignment="1">
      <alignment horizontal="center" vertical="center"/>
    </xf>
    <xf numFmtId="164" fontId="20" fillId="13" borderId="5" xfId="0" applyFont="1" applyFill="1" applyBorder="1" applyAlignment="1">
      <alignment horizontal="center" vertical="center" wrapText="1"/>
    </xf>
    <xf numFmtId="164" fontId="20" fillId="13" borderId="12" xfId="0" applyFont="1" applyFill="1" applyBorder="1" applyAlignment="1">
      <alignment horizontal="center" vertical="center" wrapText="1"/>
    </xf>
    <xf numFmtId="164" fontId="20" fillId="13" borderId="13" xfId="0" applyFont="1" applyFill="1" applyBorder="1" applyAlignment="1">
      <alignment horizontal="center" vertical="center" wrapText="1"/>
    </xf>
    <xf numFmtId="164" fontId="4" fillId="0" borderId="14" xfId="0" applyFont="1" applyBorder="1" applyAlignment="1">
      <alignment horizontal="center" vertical="center"/>
    </xf>
    <xf numFmtId="164" fontId="2" fillId="0" borderId="15" xfId="0" applyFont="1" applyBorder="1" applyAlignment="1">
      <alignment horizontal="center" vertical="center"/>
    </xf>
    <xf numFmtId="164" fontId="2" fillId="0" borderId="16" xfId="0" applyFont="1" applyBorder="1" applyAlignment="1">
      <alignment horizontal="center" vertical="center"/>
    </xf>
    <xf numFmtId="164" fontId="3" fillId="0" borderId="0" xfId="0" quotePrefix="1" applyFont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2" fillId="0" borderId="5" xfId="1" applyFont="1" applyBorder="1" applyAlignment="1" applyProtection="1">
      <alignment horizontal="center" vertical="center"/>
    </xf>
    <xf numFmtId="0" fontId="2" fillId="0" borderId="17" xfId="1" applyFont="1" applyBorder="1" applyAlignment="1" applyProtection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0" fontId="2" fillId="0" borderId="3" xfId="1" applyFont="1" applyBorder="1" applyAlignment="1" applyProtection="1">
      <alignment horizontal="center" vertical="center"/>
    </xf>
    <xf numFmtId="0" fontId="2" fillId="0" borderId="18" xfId="1" applyFont="1" applyBorder="1" applyAlignment="1" applyProtection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4" xfId="1" applyFont="1" applyBorder="1" applyAlignment="1" applyProtection="1">
      <alignment horizontal="center" vertical="center"/>
    </xf>
    <xf numFmtId="0" fontId="2" fillId="0" borderId="19" xfId="1" applyFont="1" applyBorder="1" applyAlignment="1" applyProtection="1">
      <alignment horizontal="left" vertical="center"/>
    </xf>
    <xf numFmtId="164" fontId="24" fillId="0" borderId="14" xfId="0" applyFont="1" applyBorder="1" applyAlignment="1">
      <alignment horizontal="center" vertical="center"/>
    </xf>
    <xf numFmtId="164" fontId="24" fillId="0" borderId="20" xfId="0" applyFont="1" applyBorder="1" applyAlignment="1">
      <alignment horizontal="center" vertical="center" wrapText="1"/>
    </xf>
    <xf numFmtId="164" fontId="24" fillId="0" borderId="21" xfId="0" applyFont="1" applyBorder="1" applyAlignment="1">
      <alignment horizontal="center" vertical="center"/>
    </xf>
    <xf numFmtId="164" fontId="25" fillId="25" borderId="12" xfId="0" applyFont="1" applyFill="1" applyBorder="1" applyAlignment="1">
      <alignment horizontal="center" vertical="center"/>
    </xf>
    <xf numFmtId="164" fontId="25" fillId="25" borderId="2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bievanderwesthuizen/Library/Mobile%20Documents/com~apple~CloudDocs/Ridgefield%20High/Budget/2025/2025%20Ridgefield%20Test.xlsx" TargetMode="External"/><Relationship Id="rId1" Type="http://schemas.openxmlformats.org/officeDocument/2006/relationships/externalLinkPath" Target="/Users/tobievanderwesthuizen/Library/Mobile%20Documents/com~apple~CloudDocs/Ridgefield%20High/Budget/2025/2025%20Ridgefield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 - Cashflow Projection"/>
      <sheetName val="2026 Running Expenses"/>
      <sheetName val="Budget Test 20 02 2025"/>
      <sheetName val="Budget Test 01 03 2025"/>
      <sheetName val="2025 - Cashflow Projection"/>
      <sheetName val="2024 Running Expenses"/>
      <sheetName val="2024 - Classlists CAM"/>
      <sheetName val="2024 - Classlists NAT"/>
      <sheetName val="2024 - Classlists Prim"/>
      <sheetName val="2024 Exams June"/>
      <sheetName val="2024 Exams Oct"/>
      <sheetName val="2024 Staff"/>
      <sheetName val="2024 Staff Jan"/>
      <sheetName val="2024 Feb 2024"/>
      <sheetName val="2024 March 2024"/>
      <sheetName val="2024 April 2024"/>
      <sheetName val="2024 May 2024"/>
      <sheetName val="2024 Jun 2024"/>
      <sheetName val="2024 Jul 2024"/>
      <sheetName val="2024 Aug 2024"/>
      <sheetName val="2024 Sep 2024"/>
      <sheetName val="2024 Oct 2024"/>
      <sheetName val="2024 Nov 2024"/>
      <sheetName val="2024 Dec 2024"/>
      <sheetName val="2025 Jan"/>
      <sheetName val="2025 Feb"/>
      <sheetName val="2025 March"/>
      <sheetName val="2025 April"/>
      <sheetName val="2025 May"/>
      <sheetName val="2025 June"/>
      <sheetName val="2025 July"/>
      <sheetName val="2025 Aug"/>
      <sheetName val="2025 Sep"/>
      <sheetName val="2025 Oct"/>
      <sheetName val="2025 Nov"/>
      <sheetName val="2025 Dec"/>
      <sheetName val="2026 Jan"/>
      <sheetName val="2025 Oct Temp"/>
      <sheetName val="2025 Projection"/>
      <sheetName val="2025 Jan 2024 Master"/>
      <sheetName val="Test 21 10 2025"/>
      <sheetName val="Correct tax Jan 2024"/>
      <sheetName val="2024 New"/>
      <sheetName val="2024 Jan"/>
      <sheetName val="2024 Jan CB"/>
      <sheetName val="2024 Feb CB"/>
      <sheetName val="2024 March CB"/>
      <sheetName val="2024 April CB"/>
      <sheetName val="2024 May CB"/>
      <sheetName val="2024 June CB"/>
      <sheetName val="2024 July CB"/>
      <sheetName val="2024 Aug CB"/>
      <sheetName val="2024 Sep CB"/>
      <sheetName val="2024 Oct CB"/>
      <sheetName val="2024 Nov CB"/>
      <sheetName val="2024 Dec CB"/>
      <sheetName val="2025 Jan CB"/>
      <sheetName val="2025 Feb CB"/>
      <sheetName val="CSV"/>
      <sheetName val="Master Cashbook"/>
      <sheetName val="2024 - Cashflow Projection Link"/>
      <sheetName val="Cash Book Summary 2018-2025"/>
      <sheetName val="Cash Book Summary 2020-2021 T"/>
      <sheetName val="Cash Book Summary 2018-2025 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84AC-16F1-E94C-AA47-1A7377EEAB95}">
  <sheetPr>
    <tabColor rgb="FF0070C0"/>
  </sheetPr>
  <dimension ref="A1:EJ72"/>
  <sheetViews>
    <sheetView tabSelected="1" topLeftCell="A15" zoomScale="125" zoomScaleNormal="150" workbookViewId="0">
      <pane xSplit="3" ySplit="3" topLeftCell="D18" activePane="bottomRight" state="frozen"/>
      <selection activeCell="CA48" sqref="CA48"/>
      <selection pane="topRight" activeCell="CA48" sqref="CA48"/>
      <selection pane="bottomLeft" activeCell="CA48" sqref="CA48"/>
      <selection pane="bottomRight" activeCell="X23" sqref="X23"/>
    </sheetView>
  </sheetViews>
  <sheetFormatPr baseColWidth="10" defaultColWidth="21.5703125" defaultRowHeight="32.25" customHeight="1"/>
  <cols>
    <col min="1" max="1" width="3.5703125" style="1" customWidth="1"/>
    <col min="2" max="2" width="8.42578125" style="1" bestFit="1" customWidth="1"/>
    <col min="3" max="3" width="10.5703125" style="1" bestFit="1" customWidth="1"/>
    <col min="4" max="5" width="4" style="1" customWidth="1"/>
    <col min="6" max="6" width="3.7109375" style="1" customWidth="1"/>
    <col min="7" max="7" width="4" style="1" customWidth="1"/>
    <col min="8" max="8" width="1.28515625" style="3" customWidth="1"/>
    <col min="9" max="58" width="2.7109375" style="3" customWidth="1"/>
    <col min="59" max="59" width="3.140625" style="3" customWidth="1"/>
    <col min="60" max="70" width="2.7109375" style="3" customWidth="1"/>
    <col min="71" max="71" width="3.42578125" style="3" bestFit="1" customWidth="1"/>
    <col min="72" max="79" width="2.7109375" style="3" customWidth="1"/>
    <col min="80" max="80" width="3.140625" style="3" bestFit="1" customWidth="1"/>
    <col min="81" max="81" width="2.7109375" style="3" customWidth="1"/>
    <col min="82" max="135" width="2.7109375" style="1" customWidth="1"/>
    <col min="136" max="136" width="3.85546875" style="1" bestFit="1" customWidth="1"/>
    <col min="137" max="137" width="3.85546875" style="1" customWidth="1"/>
    <col min="138" max="138" width="1.28515625" style="1" customWidth="1"/>
    <col min="139" max="139" width="21.5703125" style="2"/>
    <col min="140" max="16384" width="21.5703125" style="1"/>
  </cols>
  <sheetData>
    <row r="1" spans="1:139" s="3" customFormat="1" ht="19" hidden="1" customHeight="1">
      <c r="C1" s="150" t="s">
        <v>118</v>
      </c>
      <c r="D1" s="149"/>
      <c r="E1" s="149"/>
      <c r="F1" s="149"/>
      <c r="G1" s="149"/>
      <c r="EI1" s="2"/>
    </row>
    <row r="2" spans="1:139" s="3" customFormat="1" ht="27" hidden="1" customHeight="1">
      <c r="C2" s="148" t="s">
        <v>117</v>
      </c>
      <c r="D2" s="147" t="s">
        <v>116</v>
      </c>
      <c r="E2" s="147" t="s">
        <v>115</v>
      </c>
      <c r="F2" s="147"/>
      <c r="G2" s="146" t="s">
        <v>114</v>
      </c>
      <c r="EI2" s="2"/>
    </row>
    <row r="3" spans="1:139" s="3" customFormat="1" ht="32.25" hidden="1" customHeight="1">
      <c r="C3" s="145" t="s">
        <v>113</v>
      </c>
      <c r="D3" s="144"/>
      <c r="E3" s="144"/>
      <c r="F3" s="144"/>
      <c r="G3" s="143">
        <v>25</v>
      </c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EI3" s="2"/>
    </row>
    <row r="4" spans="1:139" s="3" customFormat="1" ht="32.25" hidden="1" customHeight="1">
      <c r="C4" s="141" t="s">
        <v>112</v>
      </c>
      <c r="D4" s="140"/>
      <c r="E4" s="140"/>
      <c r="F4" s="140"/>
      <c r="G4" s="142">
        <v>11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5"/>
      <c r="BY4" s="135"/>
      <c r="BZ4" s="135"/>
      <c r="CA4" s="135"/>
      <c r="CB4" s="135"/>
      <c r="EI4" s="2"/>
    </row>
    <row r="5" spans="1:139" s="3" customFormat="1" ht="32.25" hidden="1" customHeight="1">
      <c r="C5" s="141" t="s">
        <v>111</v>
      </c>
      <c r="D5" s="140"/>
      <c r="E5" s="140"/>
      <c r="F5" s="140"/>
      <c r="G5" s="139">
        <v>11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135"/>
      <c r="BS5" s="135"/>
      <c r="BT5" s="135"/>
      <c r="BU5" s="135"/>
      <c r="BV5" s="135"/>
      <c r="BW5" s="135"/>
      <c r="BX5" s="135"/>
      <c r="BY5" s="135"/>
      <c r="BZ5" s="135"/>
      <c r="CA5" s="135"/>
      <c r="CB5" s="135"/>
      <c r="EI5" s="2"/>
    </row>
    <row r="6" spans="1:139" s="3" customFormat="1" ht="32.25" hidden="1" customHeight="1">
      <c r="C6" s="141" t="s">
        <v>110</v>
      </c>
      <c r="D6" s="140"/>
      <c r="E6" s="140"/>
      <c r="F6" s="140"/>
      <c r="G6" s="139">
        <v>25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  <c r="BX6" s="135"/>
      <c r="BY6" s="135"/>
      <c r="BZ6" s="135"/>
      <c r="CA6" s="135"/>
      <c r="CB6" s="135"/>
      <c r="EI6" s="2"/>
    </row>
    <row r="7" spans="1:139" s="3" customFormat="1" ht="32.25" hidden="1" customHeight="1">
      <c r="C7" s="141" t="s">
        <v>109</v>
      </c>
      <c r="D7" s="140"/>
      <c r="E7" s="140"/>
      <c r="F7" s="140"/>
      <c r="G7" s="139">
        <v>7</v>
      </c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EI7" s="2"/>
    </row>
    <row r="8" spans="1:139" s="3" customFormat="1" ht="32.25" hidden="1" customHeight="1">
      <c r="C8" s="141" t="s">
        <v>108</v>
      </c>
      <c r="D8" s="140"/>
      <c r="E8" s="140"/>
      <c r="F8" s="140"/>
      <c r="G8" s="139">
        <v>28</v>
      </c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135"/>
      <c r="BS8" s="135"/>
      <c r="BT8" s="135"/>
      <c r="BU8" s="135"/>
      <c r="BV8" s="135"/>
      <c r="BW8" s="135"/>
      <c r="BX8" s="135"/>
      <c r="BY8" s="135"/>
      <c r="BZ8" s="135"/>
      <c r="CA8" s="135"/>
      <c r="CB8" s="135"/>
      <c r="EI8" s="2"/>
    </row>
    <row r="9" spans="1:139" s="3" customFormat="1" ht="32.25" hidden="1" customHeight="1">
      <c r="C9" s="141" t="s">
        <v>107</v>
      </c>
      <c r="D9" s="137"/>
      <c r="E9" s="137"/>
      <c r="F9" s="137"/>
      <c r="G9" s="136">
        <v>5</v>
      </c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  <c r="BP9" s="135"/>
      <c r="BQ9" s="135"/>
      <c r="BR9" s="135"/>
      <c r="BS9" s="135"/>
      <c r="BT9" s="135"/>
      <c r="BU9" s="135"/>
      <c r="BV9" s="135"/>
      <c r="BW9" s="135"/>
      <c r="BX9" s="135"/>
      <c r="BY9" s="135"/>
      <c r="BZ9" s="135"/>
      <c r="CA9" s="135"/>
      <c r="CB9" s="135"/>
      <c r="EI9" s="2"/>
    </row>
    <row r="10" spans="1:139" s="3" customFormat="1" ht="32.25" hidden="1" customHeight="1">
      <c r="C10" s="141" t="s">
        <v>20</v>
      </c>
      <c r="D10" s="140"/>
      <c r="E10" s="140"/>
      <c r="F10" s="140"/>
      <c r="G10" s="139">
        <v>22</v>
      </c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EI10" s="2"/>
    </row>
    <row r="11" spans="1:139" s="3" customFormat="1" ht="32.25" hidden="1" customHeight="1">
      <c r="C11" s="138" t="s">
        <v>9</v>
      </c>
      <c r="D11" s="137"/>
      <c r="E11" s="137"/>
      <c r="F11" s="137"/>
      <c r="G11" s="136">
        <f>10+6+2+6</f>
        <v>24</v>
      </c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EI11" s="2"/>
    </row>
    <row r="12" spans="1:139" s="3" customFormat="1" ht="32.25" hidden="1" customHeight="1">
      <c r="C12" s="134"/>
      <c r="D12" s="133"/>
      <c r="E12" s="133"/>
      <c r="F12" s="133"/>
      <c r="G12" s="132" t="s">
        <v>106</v>
      </c>
      <c r="EI12" s="2"/>
    </row>
    <row r="13" spans="1:139" ht="32.25" hidden="1" customHeight="1">
      <c r="C13" s="1" t="s">
        <v>105</v>
      </c>
    </row>
    <row r="14" spans="1:139" ht="32.25" hidden="1" customHeight="1"/>
    <row r="15" spans="1:139" ht="21" customHeight="1">
      <c r="A15" s="131" t="s">
        <v>104</v>
      </c>
      <c r="B15" s="130"/>
      <c r="C15" s="129"/>
      <c r="D15" s="128" t="s">
        <v>103</v>
      </c>
      <c r="E15" s="127"/>
      <c r="F15" s="127"/>
      <c r="G15" s="126"/>
      <c r="H15" s="113"/>
      <c r="I15" s="125" t="s">
        <v>102</v>
      </c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3"/>
      <c r="BE15" s="122" t="s">
        <v>101</v>
      </c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0"/>
      <c r="CC15" s="101" t="s">
        <v>100</v>
      </c>
      <c r="CD15" s="109" t="s">
        <v>99</v>
      </c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7"/>
      <c r="DH15" s="109" t="s">
        <v>98</v>
      </c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7"/>
      <c r="ED15" s="119"/>
      <c r="EE15" s="99"/>
      <c r="EF15" s="118"/>
      <c r="EG15" s="118"/>
    </row>
    <row r="16" spans="1:139" ht="22" customHeight="1">
      <c r="A16" s="117"/>
      <c r="B16" s="116"/>
      <c r="C16" s="115"/>
      <c r="D16" s="114" t="s">
        <v>97</v>
      </c>
      <c r="E16" s="114" t="s">
        <v>96</v>
      </c>
      <c r="F16" s="114" t="s">
        <v>95</v>
      </c>
      <c r="G16" s="114" t="s">
        <v>0</v>
      </c>
      <c r="H16" s="113"/>
      <c r="I16" s="112" t="s">
        <v>94</v>
      </c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0"/>
      <c r="U16" s="112" t="s">
        <v>91</v>
      </c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0"/>
      <c r="AG16" s="112" t="s">
        <v>90</v>
      </c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0"/>
      <c r="AS16" s="112" t="s">
        <v>89</v>
      </c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0"/>
      <c r="BE16" s="112" t="s">
        <v>93</v>
      </c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0"/>
      <c r="BQ16" s="112" t="s">
        <v>92</v>
      </c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0"/>
      <c r="CC16" s="101"/>
      <c r="CD16" s="109" t="s">
        <v>91</v>
      </c>
      <c r="CE16" s="108"/>
      <c r="CF16" s="108"/>
      <c r="CG16" s="108"/>
      <c r="CH16" s="108"/>
      <c r="CI16" s="108"/>
      <c r="CJ16" s="108"/>
      <c r="CK16" s="108"/>
      <c r="CL16" s="107"/>
      <c r="CM16" s="109" t="s">
        <v>90</v>
      </c>
      <c r="CN16" s="108"/>
      <c r="CO16" s="108"/>
      <c r="CP16" s="108"/>
      <c r="CQ16" s="108"/>
      <c r="CR16" s="108"/>
      <c r="CS16" s="108"/>
      <c r="CT16" s="108"/>
      <c r="CU16" s="107"/>
      <c r="CV16" s="109" t="s">
        <v>89</v>
      </c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7"/>
      <c r="DH16" s="109" t="s">
        <v>88</v>
      </c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7"/>
      <c r="DT16" s="109" t="s">
        <v>87</v>
      </c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7"/>
      <c r="EF16" s="106" t="s">
        <v>86</v>
      </c>
      <c r="EG16" s="106" t="s">
        <v>85</v>
      </c>
    </row>
    <row r="17" spans="1:140" ht="18" customHeight="1">
      <c r="A17" s="80"/>
      <c r="B17" s="105" t="s">
        <v>84</v>
      </c>
      <c r="C17" s="105" t="s">
        <v>83</v>
      </c>
      <c r="D17" s="104" t="s">
        <v>82</v>
      </c>
      <c r="E17" s="104" t="s">
        <v>82</v>
      </c>
      <c r="F17" s="104" t="s">
        <v>81</v>
      </c>
      <c r="G17" s="104"/>
      <c r="H17" s="103"/>
      <c r="I17" s="102" t="s">
        <v>60</v>
      </c>
      <c r="J17" s="102" t="s">
        <v>54</v>
      </c>
      <c r="K17" s="102" t="s">
        <v>80</v>
      </c>
      <c r="L17" s="102" t="s">
        <v>68</v>
      </c>
      <c r="M17" s="102" t="s">
        <v>79</v>
      </c>
      <c r="N17" s="102" t="s">
        <v>78</v>
      </c>
      <c r="O17" s="102" t="s">
        <v>19</v>
      </c>
      <c r="P17" s="102" t="s">
        <v>63</v>
      </c>
      <c r="Q17" s="102" t="s">
        <v>38</v>
      </c>
      <c r="R17" s="102" t="s">
        <v>77</v>
      </c>
      <c r="S17" s="102" t="s">
        <v>76</v>
      </c>
      <c r="T17" s="102" t="s">
        <v>52</v>
      </c>
      <c r="U17" s="102" t="s">
        <v>60</v>
      </c>
      <c r="V17" s="102" t="s">
        <v>54</v>
      </c>
      <c r="W17" s="102" t="s">
        <v>80</v>
      </c>
      <c r="X17" s="102" t="s">
        <v>68</v>
      </c>
      <c r="Y17" s="102" t="s">
        <v>79</v>
      </c>
      <c r="Z17" s="102" t="s">
        <v>78</v>
      </c>
      <c r="AA17" s="102" t="s">
        <v>19</v>
      </c>
      <c r="AB17" s="102" t="s">
        <v>63</v>
      </c>
      <c r="AC17" s="102" t="s">
        <v>38</v>
      </c>
      <c r="AD17" s="102" t="s">
        <v>77</v>
      </c>
      <c r="AE17" s="102" t="s">
        <v>76</v>
      </c>
      <c r="AF17" s="102" t="s">
        <v>52</v>
      </c>
      <c r="AG17" s="102" t="s">
        <v>60</v>
      </c>
      <c r="AH17" s="102" t="s">
        <v>54</v>
      </c>
      <c r="AI17" s="102" t="s">
        <v>80</v>
      </c>
      <c r="AJ17" s="102" t="s">
        <v>68</v>
      </c>
      <c r="AK17" s="102" t="s">
        <v>79</v>
      </c>
      <c r="AL17" s="102" t="s">
        <v>78</v>
      </c>
      <c r="AM17" s="102" t="s">
        <v>19</v>
      </c>
      <c r="AN17" s="102" t="s">
        <v>63</v>
      </c>
      <c r="AO17" s="102" t="s">
        <v>38</v>
      </c>
      <c r="AP17" s="102" t="s">
        <v>77</v>
      </c>
      <c r="AQ17" s="102" t="s">
        <v>76</v>
      </c>
      <c r="AR17" s="102" t="s">
        <v>52</v>
      </c>
      <c r="AS17" s="102" t="s">
        <v>60</v>
      </c>
      <c r="AT17" s="102" t="s">
        <v>54</v>
      </c>
      <c r="AU17" s="102" t="s">
        <v>80</v>
      </c>
      <c r="AV17" s="102" t="s">
        <v>68</v>
      </c>
      <c r="AW17" s="102" t="s">
        <v>79</v>
      </c>
      <c r="AX17" s="102" t="s">
        <v>78</v>
      </c>
      <c r="AY17" s="102" t="s">
        <v>19</v>
      </c>
      <c r="AZ17" s="102" t="s">
        <v>63</v>
      </c>
      <c r="BA17" s="102" t="s">
        <v>38</v>
      </c>
      <c r="BB17" s="102" t="s">
        <v>77</v>
      </c>
      <c r="BC17" s="102" t="s">
        <v>76</v>
      </c>
      <c r="BD17" s="102" t="s">
        <v>52</v>
      </c>
      <c r="BE17" s="102" t="s">
        <v>60</v>
      </c>
      <c r="BF17" s="102" t="s">
        <v>54</v>
      </c>
      <c r="BG17" s="102" t="s">
        <v>80</v>
      </c>
      <c r="BH17" s="102" t="s">
        <v>68</v>
      </c>
      <c r="BI17" s="102" t="s">
        <v>79</v>
      </c>
      <c r="BJ17" s="102" t="s">
        <v>78</v>
      </c>
      <c r="BK17" s="102" t="s">
        <v>19</v>
      </c>
      <c r="BL17" s="102" t="s">
        <v>63</v>
      </c>
      <c r="BM17" s="102" t="s">
        <v>38</v>
      </c>
      <c r="BN17" s="102" t="s">
        <v>77</v>
      </c>
      <c r="BO17" s="102" t="s">
        <v>76</v>
      </c>
      <c r="BP17" s="102" t="s">
        <v>52</v>
      </c>
      <c r="BQ17" s="102" t="s">
        <v>60</v>
      </c>
      <c r="BR17" s="102" t="s">
        <v>54</v>
      </c>
      <c r="BS17" s="102" t="s">
        <v>80</v>
      </c>
      <c r="BT17" s="102" t="s">
        <v>68</v>
      </c>
      <c r="BU17" s="102" t="s">
        <v>79</v>
      </c>
      <c r="BV17" s="102" t="s">
        <v>78</v>
      </c>
      <c r="BW17" s="102" t="s">
        <v>19</v>
      </c>
      <c r="BX17" s="102" t="s">
        <v>63</v>
      </c>
      <c r="BY17" s="102" t="s">
        <v>38</v>
      </c>
      <c r="BZ17" s="102" t="s">
        <v>77</v>
      </c>
      <c r="CA17" s="102" t="s">
        <v>76</v>
      </c>
      <c r="CB17" s="102" t="s">
        <v>52</v>
      </c>
      <c r="CC17" s="101"/>
      <c r="CD17" s="99" t="s">
        <v>60</v>
      </c>
      <c r="CE17" s="99" t="s">
        <v>54</v>
      </c>
      <c r="CF17" s="99" t="s">
        <v>75</v>
      </c>
      <c r="CG17" s="99" t="s">
        <v>74</v>
      </c>
      <c r="CH17" s="99" t="s">
        <v>69</v>
      </c>
      <c r="CI17" s="99" t="s">
        <v>68</v>
      </c>
      <c r="CJ17" s="99" t="s">
        <v>73</v>
      </c>
      <c r="CK17" s="99" t="s">
        <v>72</v>
      </c>
      <c r="CL17" s="99" t="s">
        <v>71</v>
      </c>
      <c r="CM17" s="99" t="s">
        <v>60</v>
      </c>
      <c r="CN17" s="99" t="s">
        <v>54</v>
      </c>
      <c r="CO17" s="99" t="s">
        <v>75</v>
      </c>
      <c r="CP17" s="99" t="s">
        <v>74</v>
      </c>
      <c r="CQ17" s="99" t="s">
        <v>69</v>
      </c>
      <c r="CR17" s="99" t="s">
        <v>68</v>
      </c>
      <c r="CS17" s="99" t="s">
        <v>73</v>
      </c>
      <c r="CT17" s="99" t="s">
        <v>72</v>
      </c>
      <c r="CU17" s="99" t="s">
        <v>71</v>
      </c>
      <c r="CV17" s="99" t="s">
        <v>60</v>
      </c>
      <c r="CW17" s="99" t="s">
        <v>54</v>
      </c>
      <c r="CX17" s="99" t="s">
        <v>69</v>
      </c>
      <c r="CY17" s="99" t="s">
        <v>68</v>
      </c>
      <c r="CZ17" s="99" t="s">
        <v>67</v>
      </c>
      <c r="DA17" s="99" t="s">
        <v>66</v>
      </c>
      <c r="DB17" s="99" t="s">
        <v>65</v>
      </c>
      <c r="DC17" s="99" t="s">
        <v>64</v>
      </c>
      <c r="DD17" s="99" t="s">
        <v>63</v>
      </c>
      <c r="DE17" s="99" t="s">
        <v>38</v>
      </c>
      <c r="DF17" s="99" t="s">
        <v>52</v>
      </c>
      <c r="DG17" s="100" t="s">
        <v>70</v>
      </c>
      <c r="DH17" s="99" t="s">
        <v>60</v>
      </c>
      <c r="DI17" s="99" t="s">
        <v>54</v>
      </c>
      <c r="DJ17" s="99" t="s">
        <v>69</v>
      </c>
      <c r="DK17" s="99" t="s">
        <v>68</v>
      </c>
      <c r="DL17" s="99" t="s">
        <v>67</v>
      </c>
      <c r="DM17" s="99" t="s">
        <v>66</v>
      </c>
      <c r="DN17" s="99" t="s">
        <v>65</v>
      </c>
      <c r="DO17" s="99" t="s">
        <v>64</v>
      </c>
      <c r="DP17" s="99" t="s">
        <v>63</v>
      </c>
      <c r="DQ17" s="99" t="s">
        <v>38</v>
      </c>
      <c r="DR17" s="99" t="s">
        <v>52</v>
      </c>
      <c r="DS17" s="99" t="s">
        <v>62</v>
      </c>
      <c r="DT17" s="99" t="s">
        <v>60</v>
      </c>
      <c r="DU17" s="99" t="s">
        <v>54</v>
      </c>
      <c r="DV17" s="99" t="s">
        <v>69</v>
      </c>
      <c r="DW17" s="99" t="s">
        <v>68</v>
      </c>
      <c r="DX17" s="99" t="s">
        <v>67</v>
      </c>
      <c r="DY17" s="99" t="s">
        <v>66</v>
      </c>
      <c r="DZ17" s="99" t="s">
        <v>65</v>
      </c>
      <c r="EA17" s="99" t="s">
        <v>64</v>
      </c>
      <c r="EB17" s="99" t="s">
        <v>63</v>
      </c>
      <c r="EC17" s="99" t="s">
        <v>38</v>
      </c>
      <c r="ED17" s="99" t="s">
        <v>52</v>
      </c>
      <c r="EE17" s="99" t="s">
        <v>62</v>
      </c>
      <c r="EF17" s="98"/>
      <c r="EG17" s="98"/>
    </row>
    <row r="18" spans="1:140" ht="18" customHeight="1">
      <c r="A18" s="80"/>
      <c r="B18" s="96" t="s">
        <v>60</v>
      </c>
      <c r="C18" s="90" t="s">
        <v>61</v>
      </c>
      <c r="D18" s="52">
        <f>CC18</f>
        <v>0</v>
      </c>
      <c r="E18" s="51">
        <f>EF18</f>
        <v>34</v>
      </c>
      <c r="F18" s="57"/>
      <c r="G18" s="41">
        <f>(D18)+(E18)</f>
        <v>34</v>
      </c>
      <c r="H18" s="97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9">
        <f>SUM(I18:CB18)</f>
        <v>0</v>
      </c>
      <c r="CD18" s="55">
        <v>7</v>
      </c>
      <c r="CE18" s="55"/>
      <c r="CF18" s="50">
        <v>3</v>
      </c>
      <c r="CG18" s="50"/>
      <c r="CH18" s="50">
        <v>3</v>
      </c>
      <c r="CI18" s="50"/>
      <c r="CJ18" s="50"/>
      <c r="CK18" s="6">
        <v>4</v>
      </c>
      <c r="CL18" s="50"/>
      <c r="CM18" s="49">
        <v>7</v>
      </c>
      <c r="CN18" s="49"/>
      <c r="CO18" s="49">
        <v>3</v>
      </c>
      <c r="CP18" s="49"/>
      <c r="CQ18" s="49">
        <v>3</v>
      </c>
      <c r="CR18" s="49"/>
      <c r="CS18" s="49"/>
      <c r="CT18" s="7">
        <v>4</v>
      </c>
      <c r="CU18" s="49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">
        <f>SUM(CD18:EE18)</f>
        <v>34</v>
      </c>
      <c r="EG18" s="4">
        <f>CC18+EF18</f>
        <v>34</v>
      </c>
    </row>
    <row r="19" spans="1:140" ht="18" customHeight="1">
      <c r="A19" s="80"/>
      <c r="B19" s="96" t="s">
        <v>60</v>
      </c>
      <c r="C19" s="37" t="s">
        <v>59</v>
      </c>
      <c r="D19" s="52">
        <f>CC19</f>
        <v>0</v>
      </c>
      <c r="E19" s="51">
        <f>EF19</f>
        <v>28</v>
      </c>
      <c r="F19" s="57"/>
      <c r="G19" s="41">
        <f>(D19)+(E19)</f>
        <v>28</v>
      </c>
      <c r="H19" s="65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9">
        <f>SUM(I19:CB19)</f>
        <v>0</v>
      </c>
      <c r="CD19" s="55"/>
      <c r="CE19" s="55"/>
      <c r="CF19" s="50"/>
      <c r="CG19" s="50"/>
      <c r="CH19" s="50"/>
      <c r="CI19" s="50"/>
      <c r="CJ19" s="50"/>
      <c r="CK19" s="50"/>
      <c r="CL19" s="50"/>
      <c r="CM19" s="49"/>
      <c r="CN19" s="49"/>
      <c r="CO19" s="49"/>
      <c r="CP19" s="49"/>
      <c r="CQ19" s="49"/>
      <c r="CR19" s="49"/>
      <c r="CS19" s="49"/>
      <c r="CT19" s="49"/>
      <c r="CU19" s="49"/>
      <c r="CV19" s="50">
        <v>7</v>
      </c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49">
        <v>7</v>
      </c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50">
        <v>14</v>
      </c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">
        <f>SUM(CD19:EE19)</f>
        <v>28</v>
      </c>
      <c r="EG19" s="4">
        <f>CC19+EF19</f>
        <v>28</v>
      </c>
    </row>
    <row r="20" spans="1:140" s="3" customFormat="1" ht="18" customHeight="1">
      <c r="A20" s="80"/>
      <c r="B20" s="79" t="s">
        <v>58</v>
      </c>
      <c r="C20" s="37" t="s">
        <v>57</v>
      </c>
      <c r="D20" s="52">
        <f>CC20</f>
        <v>0</v>
      </c>
      <c r="E20" s="51">
        <v>20</v>
      </c>
      <c r="F20" s="57"/>
      <c r="G20" s="41">
        <f>(D20)+(E20)</f>
        <v>20</v>
      </c>
      <c r="H20" s="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9">
        <f>SUM(I20:CB20)</f>
        <v>0</v>
      </c>
      <c r="CD20" s="8"/>
      <c r="CE20" s="8"/>
      <c r="CF20" s="6"/>
      <c r="CG20" s="6"/>
      <c r="CH20" s="50"/>
      <c r="CI20" s="6"/>
      <c r="CJ20" s="50">
        <v>4</v>
      </c>
      <c r="CK20" s="50"/>
      <c r="CL20" s="50">
        <v>3</v>
      </c>
      <c r="CM20" s="49"/>
      <c r="CN20" s="49"/>
      <c r="CO20" s="49"/>
      <c r="CP20" s="49"/>
      <c r="CQ20" s="49"/>
      <c r="CR20" s="49"/>
      <c r="CS20" s="49">
        <v>4</v>
      </c>
      <c r="CT20" s="49"/>
      <c r="CU20" s="49">
        <v>3</v>
      </c>
      <c r="CV20" s="6"/>
      <c r="CW20" s="6"/>
      <c r="CX20" s="50"/>
      <c r="CY20" s="6"/>
      <c r="CZ20" s="6"/>
      <c r="DA20" s="6"/>
      <c r="DB20" s="6"/>
      <c r="DC20" s="50">
        <v>6</v>
      </c>
      <c r="DD20" s="6"/>
      <c r="DE20" s="6"/>
      <c r="DF20" s="6"/>
      <c r="DG20" s="6"/>
      <c r="DH20" s="7"/>
      <c r="DI20" s="7"/>
      <c r="DJ20" s="49"/>
      <c r="DK20" s="7"/>
      <c r="DL20" s="7"/>
      <c r="DM20" s="7"/>
      <c r="DN20" s="7"/>
      <c r="DO20" s="49">
        <v>6</v>
      </c>
      <c r="DP20" s="7"/>
      <c r="DQ20" s="7"/>
      <c r="DR20" s="7"/>
      <c r="DS20" s="7"/>
      <c r="DT20" s="6"/>
      <c r="DU20" s="6"/>
      <c r="DV20" s="50"/>
      <c r="DW20" s="6"/>
      <c r="DX20" s="6"/>
      <c r="DY20" s="6"/>
      <c r="DZ20" s="6"/>
      <c r="EA20" s="50">
        <v>6</v>
      </c>
      <c r="EB20" s="6"/>
      <c r="EC20" s="6"/>
      <c r="ED20" s="6"/>
      <c r="EE20" s="6"/>
      <c r="EF20" s="73">
        <f>SUM(CD20:EE20)</f>
        <v>32</v>
      </c>
      <c r="EG20" s="72">
        <f>CC20+EF20</f>
        <v>32</v>
      </c>
      <c r="EI20" s="2"/>
    </row>
    <row r="21" spans="1:140" s="3" customFormat="1" ht="18" customHeight="1">
      <c r="A21" s="80"/>
      <c r="B21" s="95" t="s">
        <v>56</v>
      </c>
      <c r="C21" s="94" t="s">
        <v>55</v>
      </c>
      <c r="D21" s="52">
        <f>CC21</f>
        <v>0</v>
      </c>
      <c r="E21" s="51">
        <f>EF21</f>
        <v>44</v>
      </c>
      <c r="F21" s="57"/>
      <c r="G21" s="41">
        <f>(D21)+(E21)</f>
        <v>44</v>
      </c>
      <c r="H21" s="7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9">
        <f>SUM(I21:CB21)</f>
        <v>0</v>
      </c>
      <c r="CD21" s="50"/>
      <c r="CE21" s="50">
        <v>6</v>
      </c>
      <c r="CF21" s="50"/>
      <c r="CG21" s="50"/>
      <c r="CH21" s="50"/>
      <c r="CI21" s="50"/>
      <c r="CJ21" s="50"/>
      <c r="CK21" s="50"/>
      <c r="CL21" s="50"/>
      <c r="CM21" s="49"/>
      <c r="CN21" s="49">
        <v>6</v>
      </c>
      <c r="CO21" s="49"/>
      <c r="CP21" s="49"/>
      <c r="CQ21" s="49"/>
      <c r="CR21" s="49"/>
      <c r="CS21" s="49"/>
      <c r="CT21" s="49"/>
      <c r="CU21" s="49"/>
      <c r="CV21" s="50"/>
      <c r="CW21" s="6">
        <v>7</v>
      </c>
      <c r="CX21" s="50"/>
      <c r="CY21" s="50"/>
      <c r="CZ21" s="50"/>
      <c r="DA21" s="50"/>
      <c r="DB21" s="50"/>
      <c r="DC21" s="50"/>
      <c r="DD21" s="50"/>
      <c r="DE21" s="50"/>
      <c r="DF21" s="50"/>
      <c r="DG21" s="50">
        <v>6</v>
      </c>
      <c r="DH21" s="49"/>
      <c r="DI21" s="49">
        <v>7</v>
      </c>
      <c r="DJ21" s="49"/>
      <c r="DK21" s="49"/>
      <c r="DL21" s="49"/>
      <c r="DM21" s="49"/>
      <c r="DN21" s="49"/>
      <c r="DO21" s="49"/>
      <c r="DP21" s="49"/>
      <c r="DQ21" s="49"/>
      <c r="DR21" s="49"/>
      <c r="DS21" s="7">
        <v>6</v>
      </c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>
        <v>6</v>
      </c>
      <c r="EF21" s="5">
        <f>SUM(CD21:EE21)</f>
        <v>44</v>
      </c>
      <c r="EG21" s="4">
        <f>CC21+EF21</f>
        <v>44</v>
      </c>
      <c r="EH21" s="93"/>
      <c r="EI21" s="2"/>
    </row>
    <row r="22" spans="1:140" s="3" customFormat="1" ht="18" customHeight="1">
      <c r="A22" s="89" t="s">
        <v>35</v>
      </c>
      <c r="B22" s="95" t="s">
        <v>54</v>
      </c>
      <c r="C22" s="94" t="s">
        <v>53</v>
      </c>
      <c r="D22" s="52">
        <f>CC22</f>
        <v>0</v>
      </c>
      <c r="E22" s="51">
        <f>EF22</f>
        <v>14</v>
      </c>
      <c r="F22" s="57"/>
      <c r="G22" s="41">
        <f>(D22)+(E22)</f>
        <v>14</v>
      </c>
      <c r="H22" s="7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9">
        <f>SUM(I22:CB22)</f>
        <v>0</v>
      </c>
      <c r="CD22" s="55"/>
      <c r="CE22" s="55"/>
      <c r="CF22" s="50"/>
      <c r="CG22" s="50"/>
      <c r="CH22" s="50"/>
      <c r="CI22" s="50"/>
      <c r="CJ22" s="50"/>
      <c r="CK22" s="50"/>
      <c r="CL22" s="50"/>
      <c r="CM22" s="49"/>
      <c r="CN22" s="49"/>
      <c r="CO22" s="49"/>
      <c r="CP22" s="49"/>
      <c r="CQ22" s="49"/>
      <c r="CR22" s="49"/>
      <c r="CS22" s="49"/>
      <c r="CT22" s="49"/>
      <c r="CU22" s="49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7"/>
      <c r="DT22" s="50"/>
      <c r="DU22" s="50">
        <v>14</v>
      </c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73">
        <f>SUM(CD22:EE22)</f>
        <v>14</v>
      </c>
      <c r="EG22" s="72">
        <f>CC22+EF22</f>
        <v>14</v>
      </c>
      <c r="EH22" s="93"/>
      <c r="EI22" s="2"/>
    </row>
    <row r="23" spans="1:140" ht="18" customHeight="1">
      <c r="A23" s="92"/>
      <c r="B23" s="91" t="s">
        <v>52</v>
      </c>
      <c r="C23" s="90" t="s">
        <v>51</v>
      </c>
      <c r="D23" s="52">
        <f>CC23</f>
        <v>0</v>
      </c>
      <c r="E23" s="51">
        <f>EF23</f>
        <v>6</v>
      </c>
      <c r="F23" s="57"/>
      <c r="G23" s="41">
        <f>(D23)+(E23)</f>
        <v>6</v>
      </c>
      <c r="H23" s="6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9">
        <f>SUM(I23:CB23)</f>
        <v>0</v>
      </c>
      <c r="CD23" s="8"/>
      <c r="CE23" s="8"/>
      <c r="CF23" s="6"/>
      <c r="CG23" s="6"/>
      <c r="CH23" s="6"/>
      <c r="CI23" s="6"/>
      <c r="CJ23" s="6"/>
      <c r="CL23" s="50"/>
      <c r="CM23" s="7"/>
      <c r="CN23" s="7"/>
      <c r="CO23" s="7"/>
      <c r="CP23" s="7"/>
      <c r="CQ23" s="7"/>
      <c r="CR23" s="7"/>
      <c r="CS23" s="7"/>
      <c r="CU23" s="49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 t="s">
        <v>50</v>
      </c>
      <c r="DH23" s="7"/>
      <c r="DI23" s="7"/>
      <c r="DJ23" s="49"/>
      <c r="DK23" s="7"/>
      <c r="DL23" s="7"/>
      <c r="DM23" s="7"/>
      <c r="DN23" s="7"/>
      <c r="DO23" s="7"/>
      <c r="DP23" s="7"/>
      <c r="DQ23" s="7"/>
      <c r="DR23" s="7"/>
      <c r="DS23" s="7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>
        <v>6</v>
      </c>
      <c r="EE23" s="6"/>
      <c r="EF23" s="5">
        <f>SUM(CD23:EE23)</f>
        <v>6</v>
      </c>
      <c r="EG23" s="4">
        <f>CC23+EF23</f>
        <v>6</v>
      </c>
      <c r="EH23" s="3"/>
      <c r="EI23" s="2" t="s">
        <v>49</v>
      </c>
    </row>
    <row r="24" spans="1:140" s="3" customFormat="1" ht="18" customHeight="1">
      <c r="A24" s="89" t="s">
        <v>48</v>
      </c>
      <c r="B24" s="86" t="s">
        <v>26</v>
      </c>
      <c r="C24" s="37" t="s">
        <v>47</v>
      </c>
      <c r="D24" s="52">
        <f>CC24</f>
        <v>0</v>
      </c>
      <c r="E24" s="51">
        <f>EF24</f>
        <v>20</v>
      </c>
      <c r="F24" s="57"/>
      <c r="G24" s="41">
        <f>(D24)+(E24)</f>
        <v>20</v>
      </c>
      <c r="H24" s="1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9">
        <f>SUM(I24:CB24)</f>
        <v>0</v>
      </c>
      <c r="CD24" s="8"/>
      <c r="CE24" s="8"/>
      <c r="CF24" s="6"/>
      <c r="CG24" s="6"/>
      <c r="CH24" s="6"/>
      <c r="CI24" s="6">
        <v>7</v>
      </c>
      <c r="CJ24" s="6"/>
      <c r="CK24" s="6"/>
      <c r="CL24" s="50"/>
      <c r="CM24" s="7"/>
      <c r="CN24" s="7"/>
      <c r="CO24" s="7"/>
      <c r="CP24" s="7"/>
      <c r="CQ24" s="7"/>
      <c r="CR24" s="7">
        <v>7</v>
      </c>
      <c r="CS24" s="7"/>
      <c r="CT24" s="7"/>
      <c r="CU24" s="49"/>
      <c r="CV24" s="6"/>
      <c r="CW24" s="6"/>
      <c r="CX24" s="6"/>
      <c r="CY24" s="6"/>
      <c r="CZ24" s="6"/>
      <c r="DA24" s="6"/>
      <c r="DB24" s="6"/>
      <c r="DC24" s="6"/>
      <c r="DD24" s="6">
        <v>6</v>
      </c>
      <c r="DE24" s="6"/>
      <c r="DF24" s="6"/>
      <c r="DG24" s="6"/>
      <c r="DH24" s="7"/>
      <c r="DI24" s="7"/>
      <c r="DJ24" s="49"/>
      <c r="DK24" s="7"/>
      <c r="DL24" s="7"/>
      <c r="DM24" s="7"/>
      <c r="DN24" s="7"/>
      <c r="DO24" s="7"/>
      <c r="DP24" s="7"/>
      <c r="DQ24" s="7"/>
      <c r="DR24" s="7"/>
      <c r="DS24" s="7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5">
        <f>SUM(CD24:EE24)</f>
        <v>20</v>
      </c>
      <c r="EG24" s="4">
        <f>CC24+EF24</f>
        <v>20</v>
      </c>
      <c r="EI24" s="2"/>
    </row>
    <row r="25" spans="1:140" s="3" customFormat="1" ht="18" customHeight="1">
      <c r="A25" s="89" t="s">
        <v>46</v>
      </c>
      <c r="B25" s="86" t="s">
        <v>26</v>
      </c>
      <c r="C25" s="88" t="s">
        <v>45</v>
      </c>
      <c r="D25" s="52">
        <f>CC25</f>
        <v>0</v>
      </c>
      <c r="E25" s="51">
        <v>55</v>
      </c>
      <c r="F25" s="57"/>
      <c r="G25" s="41">
        <f>(D25)+(E25)</f>
        <v>55</v>
      </c>
      <c r="H25" s="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9">
        <f>SUM(I25:CB25)</f>
        <v>0</v>
      </c>
      <c r="CD25" s="8"/>
      <c r="CE25" s="8"/>
      <c r="CF25" s="6"/>
      <c r="CG25" s="6"/>
      <c r="CH25" s="6"/>
      <c r="CI25" s="6"/>
      <c r="CJ25" s="6"/>
      <c r="CK25" s="6"/>
      <c r="CL25" s="50"/>
      <c r="CM25" s="7"/>
      <c r="CN25" s="7"/>
      <c r="CO25" s="7"/>
      <c r="CP25" s="7"/>
      <c r="CQ25" s="7"/>
      <c r="CR25" s="7"/>
      <c r="CS25" s="7"/>
      <c r="CT25" s="7"/>
      <c r="CU25" s="49"/>
      <c r="CV25" s="6"/>
      <c r="CW25" s="6"/>
      <c r="CX25" s="6"/>
      <c r="CY25" s="6">
        <v>7</v>
      </c>
      <c r="CZ25" s="6"/>
      <c r="DA25" s="6"/>
      <c r="DB25" s="6"/>
      <c r="DC25" s="6"/>
      <c r="DD25" s="6"/>
      <c r="DE25" s="6"/>
      <c r="DF25" s="6"/>
      <c r="DG25" s="6"/>
      <c r="DH25" s="7"/>
      <c r="DI25" s="7"/>
      <c r="DJ25" s="49"/>
      <c r="DK25" s="49">
        <v>7</v>
      </c>
      <c r="DL25" s="7"/>
      <c r="DM25" s="7"/>
      <c r="DN25" s="7"/>
      <c r="DO25" s="7"/>
      <c r="DP25" s="7"/>
      <c r="DQ25" s="7"/>
      <c r="DR25" s="7"/>
      <c r="DS25" s="7"/>
      <c r="DT25" s="6"/>
      <c r="DU25" s="6"/>
      <c r="DV25" s="6"/>
      <c r="DW25" s="6">
        <v>7</v>
      </c>
      <c r="DX25" s="6"/>
      <c r="DY25" s="6"/>
      <c r="DZ25" s="6"/>
      <c r="EA25" s="6"/>
      <c r="EB25" s="6"/>
      <c r="EC25" s="6"/>
      <c r="ED25" s="6"/>
      <c r="EE25" s="6"/>
      <c r="EF25" s="5">
        <f>SUM(CD25:EE25)</f>
        <v>21</v>
      </c>
      <c r="EG25" s="4">
        <f>CC25+EF25</f>
        <v>21</v>
      </c>
      <c r="EI25" s="2"/>
    </row>
    <row r="26" spans="1:140" s="3" customFormat="1" ht="18" customHeight="1">
      <c r="A26" s="87"/>
      <c r="B26" s="86" t="s">
        <v>44</v>
      </c>
      <c r="C26" s="37" t="s">
        <v>43</v>
      </c>
      <c r="D26" s="52">
        <f>CC26</f>
        <v>0</v>
      </c>
      <c r="E26" s="51">
        <f>EF26</f>
        <v>39</v>
      </c>
      <c r="F26" s="57"/>
      <c r="G26" s="41">
        <f>(D26)+(E26)</f>
        <v>39</v>
      </c>
      <c r="H26" s="1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9">
        <f>SUM(I26:CB26)</f>
        <v>0</v>
      </c>
      <c r="CD26" s="8"/>
      <c r="CE26" s="8"/>
      <c r="CF26" s="6"/>
      <c r="CG26" s="6"/>
      <c r="CH26" s="6"/>
      <c r="CI26" s="6"/>
      <c r="CJ26" s="6"/>
      <c r="CK26" s="6"/>
      <c r="CL26" s="6"/>
      <c r="CM26" s="7"/>
      <c r="CN26" s="7"/>
      <c r="CO26" s="7"/>
      <c r="CP26" s="7"/>
      <c r="CQ26" s="7"/>
      <c r="CR26" s="7"/>
      <c r="CS26" s="7"/>
      <c r="CT26" s="7"/>
      <c r="CU26" s="7"/>
      <c r="CV26" s="6"/>
      <c r="CW26" s="6"/>
      <c r="CX26" s="6"/>
      <c r="CY26" s="6"/>
      <c r="CZ26" s="6">
        <v>7</v>
      </c>
      <c r="DA26" s="6"/>
      <c r="DB26" s="6">
        <v>6</v>
      </c>
      <c r="DC26" s="6"/>
      <c r="DD26" s="6"/>
      <c r="DE26" s="6"/>
      <c r="DF26" s="6"/>
      <c r="DG26" s="6"/>
      <c r="DH26" s="7"/>
      <c r="DI26" s="7"/>
      <c r="DJ26" s="7"/>
      <c r="DK26" s="7"/>
      <c r="DL26" s="7">
        <v>7</v>
      </c>
      <c r="DM26" s="7"/>
      <c r="DN26" s="7">
        <v>6</v>
      </c>
      <c r="DO26" s="7"/>
      <c r="DP26" s="7"/>
      <c r="DQ26" s="7"/>
      <c r="DR26" s="7"/>
      <c r="DS26" s="7"/>
      <c r="DT26" s="6"/>
      <c r="DU26" s="6"/>
      <c r="DV26" s="6"/>
      <c r="DW26" s="6"/>
      <c r="DX26" s="6">
        <v>7</v>
      </c>
      <c r="DY26" s="6"/>
      <c r="DZ26" s="6">
        <v>6</v>
      </c>
      <c r="EA26" s="6"/>
      <c r="EB26" s="6"/>
      <c r="EC26" s="6"/>
      <c r="ED26" s="6"/>
      <c r="EE26" s="6"/>
      <c r="EF26" s="5">
        <f>SUM(CD26:EE26)</f>
        <v>39</v>
      </c>
      <c r="EG26" s="4">
        <f>CC26+EF26</f>
        <v>39</v>
      </c>
      <c r="EI26" s="2" t="s">
        <v>42</v>
      </c>
      <c r="EJ26" s="62" t="s">
        <v>41</v>
      </c>
    </row>
    <row r="27" spans="1:140" s="3" customFormat="1" ht="18" customHeight="1">
      <c r="A27" s="80"/>
      <c r="B27" s="85" t="s">
        <v>40</v>
      </c>
      <c r="C27" s="37" t="s">
        <v>39</v>
      </c>
      <c r="D27" s="52">
        <f>CC27</f>
        <v>0</v>
      </c>
      <c r="E27" s="51">
        <f>EF27</f>
        <v>24</v>
      </c>
      <c r="F27" s="57"/>
      <c r="G27" s="41">
        <f>D27+(E27)</f>
        <v>24</v>
      </c>
      <c r="H27" s="1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9">
        <f>SUM(I27:CB27)</f>
        <v>0</v>
      </c>
      <c r="CD27" s="8"/>
      <c r="CE27" s="8"/>
      <c r="CF27" s="6"/>
      <c r="CG27" s="6"/>
      <c r="CH27" s="6"/>
      <c r="CI27" s="6"/>
      <c r="CJ27" s="6"/>
      <c r="CK27" s="6"/>
      <c r="CL27" s="6"/>
      <c r="CM27" s="7"/>
      <c r="CN27" s="7"/>
      <c r="CO27" s="7"/>
      <c r="CP27" s="7"/>
      <c r="CQ27" s="7"/>
      <c r="CR27" s="7"/>
      <c r="CS27" s="7"/>
      <c r="CT27" s="7"/>
      <c r="CU27" s="82"/>
      <c r="CV27" s="6"/>
      <c r="CW27" s="6"/>
      <c r="CX27" s="6">
        <v>3</v>
      </c>
      <c r="CY27" s="6"/>
      <c r="CZ27" s="6"/>
      <c r="DA27" s="6"/>
      <c r="DB27" s="6"/>
      <c r="DC27" s="6"/>
      <c r="DD27" s="6"/>
      <c r="DE27" s="6"/>
      <c r="DF27" s="6"/>
      <c r="DG27" s="6"/>
      <c r="DH27" s="7"/>
      <c r="DI27" s="7"/>
      <c r="DJ27" s="7">
        <v>3</v>
      </c>
      <c r="DK27" s="7"/>
      <c r="DL27" s="7"/>
      <c r="DM27" s="7"/>
      <c r="DN27" s="7"/>
      <c r="DO27" s="7"/>
      <c r="DP27" s="7">
        <v>6</v>
      </c>
      <c r="DQ27" s="7"/>
      <c r="DR27" s="7"/>
      <c r="DS27" s="7"/>
      <c r="DT27" s="6"/>
      <c r="DU27" s="6"/>
      <c r="DV27" s="6">
        <v>6</v>
      </c>
      <c r="DW27" s="6"/>
      <c r="DX27" s="6"/>
      <c r="DY27" s="6"/>
      <c r="DZ27" s="6"/>
      <c r="EA27" s="6"/>
      <c r="EB27" s="6">
        <v>6</v>
      </c>
      <c r="EC27" s="6"/>
      <c r="ED27" s="6"/>
      <c r="EE27" s="6"/>
      <c r="EF27" s="73">
        <f>SUM(CD27:EE27)</f>
        <v>24</v>
      </c>
      <c r="EG27" s="72">
        <f>CC27+EF27</f>
        <v>24</v>
      </c>
      <c r="EI27" s="2"/>
    </row>
    <row r="28" spans="1:140" s="3" customFormat="1" ht="18" customHeight="1">
      <c r="A28" s="80"/>
      <c r="B28" s="85" t="s">
        <v>38</v>
      </c>
      <c r="C28" s="37" t="s">
        <v>37</v>
      </c>
      <c r="D28" s="52">
        <f>CC28</f>
        <v>0</v>
      </c>
      <c r="E28" s="51">
        <f>EF28</f>
        <v>24</v>
      </c>
      <c r="F28" s="57"/>
      <c r="G28" s="41">
        <f>D28+(E28)</f>
        <v>24</v>
      </c>
      <c r="H28" s="1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9">
        <f>SUM(I28:CB28)</f>
        <v>0</v>
      </c>
      <c r="CD28" s="8"/>
      <c r="CE28" s="8"/>
      <c r="CF28" s="6"/>
      <c r="CG28" s="84">
        <v>3</v>
      </c>
      <c r="CH28" s="6"/>
      <c r="CI28" s="6"/>
      <c r="CJ28" s="6"/>
      <c r="CK28" s="6"/>
      <c r="CL28" s="83"/>
      <c r="CM28" s="7"/>
      <c r="CN28" s="7"/>
      <c r="CO28" s="7"/>
      <c r="CP28" s="81">
        <v>3</v>
      </c>
      <c r="CQ28" s="7"/>
      <c r="CR28" s="7"/>
      <c r="CS28" s="7"/>
      <c r="CT28" s="7"/>
      <c r="CU28" s="82"/>
      <c r="CV28" s="6"/>
      <c r="CW28" s="6"/>
      <c r="CX28" s="6"/>
      <c r="CY28" s="6"/>
      <c r="CZ28" s="6"/>
      <c r="DA28" s="6"/>
      <c r="DB28" s="6"/>
      <c r="DC28" s="6"/>
      <c r="DD28" s="6"/>
      <c r="DE28" s="81">
        <v>6</v>
      </c>
      <c r="DF28" s="6"/>
      <c r="DG28" s="6"/>
      <c r="DH28" s="7"/>
      <c r="DI28" s="7"/>
      <c r="DJ28" s="7"/>
      <c r="DK28" s="7"/>
      <c r="DL28" s="7"/>
      <c r="DM28" s="7"/>
      <c r="DN28" s="7"/>
      <c r="DO28" s="7"/>
      <c r="DP28" s="7"/>
      <c r="DQ28" s="81">
        <v>6</v>
      </c>
      <c r="DR28" s="7"/>
      <c r="DS28" s="7"/>
      <c r="DT28" s="6"/>
      <c r="DU28" s="6"/>
      <c r="DV28" s="6"/>
      <c r="DW28" s="6"/>
      <c r="DX28" s="6"/>
      <c r="DY28" s="6"/>
      <c r="DZ28" s="6"/>
      <c r="EA28" s="6"/>
      <c r="EB28" s="6"/>
      <c r="EC28" s="81">
        <v>6</v>
      </c>
      <c r="ED28" s="6"/>
      <c r="EE28" s="6"/>
      <c r="EF28" s="73">
        <f>SUM(CD28:EE28)</f>
        <v>24</v>
      </c>
      <c r="EG28" s="72">
        <f>CC28+EF28</f>
        <v>24</v>
      </c>
      <c r="EI28" s="2"/>
    </row>
    <row r="29" spans="1:140" s="3" customFormat="1" ht="18" customHeight="1">
      <c r="A29" s="80"/>
      <c r="B29" s="79" t="s">
        <v>26</v>
      </c>
      <c r="C29" s="78" t="s">
        <v>36</v>
      </c>
      <c r="D29" s="52">
        <f>CC29</f>
        <v>42</v>
      </c>
      <c r="E29" s="51">
        <f>EF29</f>
        <v>0</v>
      </c>
      <c r="F29" s="75"/>
      <c r="G29" s="41">
        <f>D29+(E29)</f>
        <v>42</v>
      </c>
      <c r="H29" s="1"/>
      <c r="I29" s="13"/>
      <c r="J29" s="13"/>
      <c r="K29" s="13"/>
      <c r="L29" s="13">
        <v>7</v>
      </c>
      <c r="M29" s="13"/>
      <c r="N29" s="13"/>
      <c r="O29" s="13"/>
      <c r="P29" s="13"/>
      <c r="Q29" s="13"/>
      <c r="R29" s="13"/>
      <c r="S29" s="13"/>
      <c r="T29" s="13"/>
      <c r="U29" s="12"/>
      <c r="V29" s="12"/>
      <c r="W29" s="12"/>
      <c r="X29" s="12">
        <v>7</v>
      </c>
      <c r="Y29" s="12"/>
      <c r="Z29" s="12"/>
      <c r="AA29" s="12"/>
      <c r="AB29" s="12"/>
      <c r="AC29" s="12"/>
      <c r="AD29" s="12"/>
      <c r="AE29" s="12"/>
      <c r="AF29" s="12"/>
      <c r="AG29" s="13"/>
      <c r="AH29" s="13"/>
      <c r="AI29" s="13"/>
      <c r="AJ29" s="13">
        <v>7</v>
      </c>
      <c r="AK29" s="13"/>
      <c r="AL29" s="13"/>
      <c r="AM29" s="13"/>
      <c r="AN29" s="13"/>
      <c r="AO29" s="13"/>
      <c r="AP29" s="13"/>
      <c r="AQ29" s="13"/>
      <c r="AR29" s="13"/>
      <c r="AS29" s="12"/>
      <c r="AT29" s="12"/>
      <c r="AU29" s="12"/>
      <c r="AV29" s="12">
        <v>7</v>
      </c>
      <c r="AW29" s="12"/>
      <c r="AX29" s="12"/>
      <c r="AY29" s="12"/>
      <c r="AZ29" s="12"/>
      <c r="BA29" s="12"/>
      <c r="BB29" s="12"/>
      <c r="BC29" s="12"/>
      <c r="BD29" s="12"/>
      <c r="BE29" s="11"/>
      <c r="BF29" s="11"/>
      <c r="BG29" s="11"/>
      <c r="BH29" s="11">
        <v>7</v>
      </c>
      <c r="BI29" s="11"/>
      <c r="BJ29" s="11"/>
      <c r="BK29" s="11"/>
      <c r="BL29" s="11"/>
      <c r="BM29" s="11"/>
      <c r="BN29" s="11"/>
      <c r="BO29" s="11"/>
      <c r="BP29" s="11"/>
      <c r="BQ29" s="10"/>
      <c r="BR29" s="10"/>
      <c r="BS29" s="10">
        <v>7</v>
      </c>
      <c r="BT29" s="10"/>
      <c r="BU29" s="10"/>
      <c r="BV29" s="10"/>
      <c r="BW29" s="10"/>
      <c r="BX29" s="10"/>
      <c r="BY29" s="10"/>
      <c r="BZ29" s="10"/>
      <c r="CA29" s="10"/>
      <c r="CB29" s="10"/>
      <c r="CC29" s="9">
        <f>SUM(I29:CB29)</f>
        <v>42</v>
      </c>
      <c r="CD29" s="8"/>
      <c r="CE29" s="8"/>
      <c r="CF29" s="6"/>
      <c r="CG29" s="6"/>
      <c r="CH29" s="6"/>
      <c r="CI29" s="6"/>
      <c r="CJ29" s="6"/>
      <c r="CK29" s="6"/>
      <c r="CL29" s="50"/>
      <c r="CM29" s="7"/>
      <c r="CN29" s="7"/>
      <c r="CO29" s="7"/>
      <c r="CP29" s="7"/>
      <c r="CQ29" s="7"/>
      <c r="CR29" s="7"/>
      <c r="CS29" s="7"/>
      <c r="CT29" s="7"/>
      <c r="CU29" s="49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7"/>
      <c r="DI29" s="7"/>
      <c r="DJ29" s="49"/>
      <c r="DK29" s="7"/>
      <c r="DL29" s="7"/>
      <c r="DM29" s="7"/>
      <c r="DN29" s="7"/>
      <c r="DO29" s="7"/>
      <c r="DP29" s="7"/>
      <c r="DQ29" s="7"/>
      <c r="DR29" s="7"/>
      <c r="DS29" s="7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5">
        <f>SUM(CD29:EE29)</f>
        <v>0</v>
      </c>
      <c r="EG29" s="4">
        <f>CC29+EF29</f>
        <v>42</v>
      </c>
      <c r="EI29" s="2"/>
    </row>
    <row r="30" spans="1:140" s="3" customFormat="1" ht="18" customHeight="1">
      <c r="A30" s="67" t="s">
        <v>35</v>
      </c>
      <c r="B30" s="77" t="s">
        <v>34</v>
      </c>
      <c r="C30" s="58" t="s">
        <v>33</v>
      </c>
      <c r="D30" s="52">
        <f>CC30</f>
        <v>42</v>
      </c>
      <c r="E30" s="76">
        <f>EF30</f>
        <v>0</v>
      </c>
      <c r="F30" s="75"/>
      <c r="G30" s="41">
        <f>D30+(E30)</f>
        <v>42</v>
      </c>
      <c r="H30" s="1"/>
      <c r="I30" s="13"/>
      <c r="J30" s="13">
        <v>4</v>
      </c>
      <c r="K30" s="13"/>
      <c r="L30" s="13"/>
      <c r="M30" s="13"/>
      <c r="N30" s="13"/>
      <c r="O30" s="13">
        <v>4</v>
      </c>
      <c r="P30" s="13"/>
      <c r="Q30" s="13"/>
      <c r="R30" s="13"/>
      <c r="S30" s="13"/>
      <c r="T30" s="13"/>
      <c r="U30" s="12"/>
      <c r="V30" s="12">
        <v>3</v>
      </c>
      <c r="W30" s="12"/>
      <c r="X30" s="12"/>
      <c r="Y30" s="12"/>
      <c r="Z30" s="12"/>
      <c r="AA30" s="12">
        <v>3</v>
      </c>
      <c r="AB30" s="12"/>
      <c r="AC30" s="12"/>
      <c r="AD30" s="12">
        <v>3</v>
      </c>
      <c r="AE30" s="12"/>
      <c r="AF30" s="12"/>
      <c r="AG30" s="13"/>
      <c r="AH30" s="13">
        <v>3</v>
      </c>
      <c r="AI30" s="13"/>
      <c r="AJ30" s="13"/>
      <c r="AK30" s="13"/>
      <c r="AL30" s="13"/>
      <c r="AM30" s="13">
        <v>3</v>
      </c>
      <c r="AN30" s="13"/>
      <c r="AO30" s="13"/>
      <c r="AP30" s="13">
        <v>3</v>
      </c>
      <c r="AQ30" s="13"/>
      <c r="AR30" s="13"/>
      <c r="AS30" s="12"/>
      <c r="AT30" s="12">
        <v>3</v>
      </c>
      <c r="AU30" s="12"/>
      <c r="AV30" s="12"/>
      <c r="AW30" s="12"/>
      <c r="AX30" s="12"/>
      <c r="AY30" s="12">
        <v>4</v>
      </c>
      <c r="AZ30" s="12"/>
      <c r="BA30" s="12"/>
      <c r="BB30" s="12">
        <v>3</v>
      </c>
      <c r="BC30" s="12"/>
      <c r="BD30" s="12"/>
      <c r="BE30" s="11"/>
      <c r="BF30" s="11">
        <v>3</v>
      </c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0"/>
      <c r="BR30" s="10">
        <v>3</v>
      </c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9">
        <f>SUM(I30:CB30)</f>
        <v>42</v>
      </c>
      <c r="CD30" s="8"/>
      <c r="CE30" s="55"/>
      <c r="CF30" s="6"/>
      <c r="CG30" s="6"/>
      <c r="CH30" s="6"/>
      <c r="CI30" s="6"/>
      <c r="CJ30" s="6"/>
      <c r="CK30" s="6"/>
      <c r="CL30" s="50"/>
      <c r="CM30" s="7"/>
      <c r="CN30" s="7"/>
      <c r="CO30" s="7"/>
      <c r="CP30" s="7"/>
      <c r="CQ30" s="7"/>
      <c r="CR30" s="7"/>
      <c r="CS30" s="7"/>
      <c r="CT30" s="7"/>
      <c r="CU30" s="49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7"/>
      <c r="DI30" s="7"/>
      <c r="DJ30" s="49"/>
      <c r="DK30" s="7"/>
      <c r="DL30" s="7"/>
      <c r="DM30" s="7"/>
      <c r="DN30" s="7"/>
      <c r="DO30" s="7"/>
      <c r="DP30" s="7"/>
      <c r="DQ30" s="7"/>
      <c r="DR30" s="7"/>
      <c r="DS30" s="7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5">
        <f>SUM(CD30:EE30)</f>
        <v>0</v>
      </c>
      <c r="EG30" s="4">
        <f>CC30+EF30</f>
        <v>42</v>
      </c>
      <c r="EI30" s="2"/>
    </row>
    <row r="31" spans="1:140" ht="18" customHeight="1">
      <c r="A31" s="61"/>
      <c r="B31" s="74" t="s">
        <v>32</v>
      </c>
      <c r="C31" s="58" t="s">
        <v>31</v>
      </c>
      <c r="D31" s="52">
        <f>CC31</f>
        <v>32</v>
      </c>
      <c r="E31" s="51">
        <f>EF31</f>
        <v>0</v>
      </c>
      <c r="F31" s="57"/>
      <c r="G31" s="41">
        <f>D31+(E31)</f>
        <v>32</v>
      </c>
      <c r="H31" s="65"/>
      <c r="I31" s="13">
        <v>5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2">
        <v>5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>
        <v>5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2">
        <v>5</v>
      </c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1">
        <v>6</v>
      </c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0">
        <v>6</v>
      </c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9">
        <f>SUM(I31:CB31)</f>
        <v>32</v>
      </c>
      <c r="CD31" s="8"/>
      <c r="CE31" s="6"/>
      <c r="CF31" s="6"/>
      <c r="CG31" s="6"/>
      <c r="CH31" s="6"/>
      <c r="CI31" s="6"/>
      <c r="CJ31" s="6"/>
      <c r="CK31" s="6"/>
      <c r="CL31" s="50"/>
      <c r="CM31" s="7"/>
      <c r="CN31" s="7"/>
      <c r="CO31" s="7"/>
      <c r="CP31" s="7"/>
      <c r="CQ31" s="7"/>
      <c r="CR31" s="7"/>
      <c r="CS31" s="7"/>
      <c r="CT31" s="7"/>
      <c r="CU31" s="49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7"/>
      <c r="DI31" s="7"/>
      <c r="DJ31" s="49"/>
      <c r="DK31" s="7"/>
      <c r="DL31" s="7"/>
      <c r="DM31" s="7"/>
      <c r="DN31" s="7"/>
      <c r="DO31" s="7"/>
      <c r="DP31" s="7"/>
      <c r="DQ31" s="7"/>
      <c r="DR31" s="7"/>
      <c r="DS31" s="7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50"/>
      <c r="EE31" s="6"/>
      <c r="EF31" s="73">
        <f>SUM(CD31:EE31)</f>
        <v>0</v>
      </c>
      <c r="EG31" s="72">
        <f>CC31+EF31</f>
        <v>32</v>
      </c>
      <c r="EH31" s="3"/>
    </row>
    <row r="32" spans="1:140" s="3" customFormat="1" ht="18" customHeight="1">
      <c r="A32" s="67" t="s">
        <v>30</v>
      </c>
      <c r="B32" s="71" t="s">
        <v>29</v>
      </c>
      <c r="C32" s="58" t="s">
        <v>28</v>
      </c>
      <c r="D32" s="52">
        <f>CC32</f>
        <v>13</v>
      </c>
      <c r="E32" s="51">
        <f>EF32</f>
        <v>0</v>
      </c>
      <c r="F32" s="57"/>
      <c r="G32" s="41">
        <f>D32+(E32)</f>
        <v>13</v>
      </c>
      <c r="H32" s="70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2"/>
      <c r="V32" s="12"/>
      <c r="W32" s="12">
        <v>3</v>
      </c>
      <c r="X32" s="12"/>
      <c r="Y32" s="12"/>
      <c r="Z32" s="12"/>
      <c r="AA32" s="12"/>
      <c r="AB32" s="12"/>
      <c r="AC32" s="12"/>
      <c r="AD32" s="12"/>
      <c r="AE32" s="12"/>
      <c r="AF32" s="12"/>
      <c r="AG32" s="13"/>
      <c r="AH32" s="13"/>
      <c r="AI32" s="13">
        <v>4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2"/>
      <c r="AT32" s="12"/>
      <c r="AU32" s="12">
        <v>3</v>
      </c>
      <c r="AV32" s="12"/>
      <c r="AW32" s="12"/>
      <c r="AX32" s="12"/>
      <c r="AY32" s="12"/>
      <c r="AZ32" s="12"/>
      <c r="BA32" s="12"/>
      <c r="BB32" s="12"/>
      <c r="BC32" s="12"/>
      <c r="BD32" s="12"/>
      <c r="BE32" s="11"/>
      <c r="BF32" s="11"/>
      <c r="BG32" s="69">
        <v>1.5</v>
      </c>
      <c r="BH32" s="11"/>
      <c r="BI32" s="11"/>
      <c r="BJ32" s="11"/>
      <c r="BK32" s="11"/>
      <c r="BL32" s="11"/>
      <c r="BM32" s="11"/>
      <c r="BN32" s="11"/>
      <c r="BO32" s="11"/>
      <c r="BP32" s="11"/>
      <c r="BQ32" s="10"/>
      <c r="BR32" s="10"/>
      <c r="BS32" s="68">
        <v>1.5</v>
      </c>
      <c r="BT32" s="10"/>
      <c r="BU32" s="10"/>
      <c r="BV32" s="10"/>
      <c r="BW32" s="10"/>
      <c r="BX32" s="10"/>
      <c r="BY32" s="10"/>
      <c r="BZ32" s="10"/>
      <c r="CA32" s="10"/>
      <c r="CB32" s="10"/>
      <c r="CC32" s="9">
        <f>SUM(I32:CB32)</f>
        <v>13</v>
      </c>
      <c r="CD32" s="55"/>
      <c r="CE32" s="55"/>
      <c r="CF32" s="50"/>
      <c r="CG32" s="50"/>
      <c r="CH32" s="50"/>
      <c r="CI32" s="50"/>
      <c r="CJ32" s="50"/>
      <c r="CK32" s="50"/>
      <c r="CL32" s="50"/>
      <c r="CM32" s="49"/>
      <c r="CN32" s="49"/>
      <c r="CO32" s="49"/>
      <c r="CP32" s="49"/>
      <c r="CQ32" s="49"/>
      <c r="CR32" s="49"/>
      <c r="CS32" s="49"/>
      <c r="CT32" s="49"/>
      <c r="CU32" s="49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49"/>
      <c r="DI32" s="7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">
        <f>SUM(CD32:EE32)</f>
        <v>0</v>
      </c>
      <c r="EG32" s="4">
        <f>CC32+EF32</f>
        <v>13</v>
      </c>
      <c r="EI32" s="2"/>
    </row>
    <row r="33" spans="1:139" s="3" customFormat="1" ht="18" customHeight="1">
      <c r="A33" s="67" t="s">
        <v>27</v>
      </c>
      <c r="B33" s="66" t="s">
        <v>26</v>
      </c>
      <c r="C33" s="58" t="s">
        <v>25</v>
      </c>
      <c r="D33" s="52">
        <f>CC33</f>
        <v>0</v>
      </c>
      <c r="E33" s="51">
        <f>EF33</f>
        <v>0</v>
      </c>
      <c r="F33" s="57"/>
      <c r="G33" s="41">
        <f>D33+(E33)</f>
        <v>0</v>
      </c>
      <c r="H33" s="65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1"/>
      <c r="BF33" s="11"/>
      <c r="BG33" s="63"/>
      <c r="BH33" s="11"/>
      <c r="BI33" s="11"/>
      <c r="BJ33" s="11"/>
      <c r="BK33" s="11"/>
      <c r="BL33" s="11"/>
      <c r="BM33" s="11"/>
      <c r="BN33" s="11"/>
      <c r="BO33" s="11"/>
      <c r="BP33" s="11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9">
        <f>SUM(I33:CB33)</f>
        <v>0</v>
      </c>
      <c r="CD33" s="8"/>
      <c r="CE33" s="8"/>
      <c r="CF33" s="6"/>
      <c r="CG33" s="6"/>
      <c r="CH33" s="6"/>
      <c r="CI33" s="6"/>
      <c r="CJ33" s="6"/>
      <c r="CK33" s="6"/>
      <c r="CL33" s="6"/>
      <c r="CM33" s="7"/>
      <c r="CN33" s="7"/>
      <c r="CO33" s="7"/>
      <c r="CP33" s="7"/>
      <c r="CQ33" s="7"/>
      <c r="CR33" s="7"/>
      <c r="CS33" s="7"/>
      <c r="CT33" s="7"/>
      <c r="CU33" s="7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7"/>
      <c r="DI33" s="7"/>
      <c r="DJ33" s="49"/>
      <c r="DK33" s="7"/>
      <c r="DL33" s="7"/>
      <c r="DM33" s="7"/>
      <c r="DN33" s="7"/>
      <c r="DO33" s="7"/>
      <c r="DP33" s="7"/>
      <c r="DQ33" s="7"/>
      <c r="DR33" s="7"/>
      <c r="DS33" s="7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5">
        <f>SUM(CD33:EE33)</f>
        <v>0</v>
      </c>
      <c r="EG33" s="4">
        <f>CC33+EF33</f>
        <v>0</v>
      </c>
      <c r="EI33" s="2"/>
    </row>
    <row r="34" spans="1:139" s="3" customFormat="1" ht="18" customHeight="1">
      <c r="A34" s="61"/>
      <c r="B34" s="64" t="s">
        <v>24</v>
      </c>
      <c r="C34" s="58" t="s">
        <v>23</v>
      </c>
      <c r="D34" s="52">
        <f>CC34</f>
        <v>52</v>
      </c>
      <c r="E34" s="51">
        <f>EF34</f>
        <v>0</v>
      </c>
      <c r="F34" s="57"/>
      <c r="G34" s="41">
        <f>D34+(E34)</f>
        <v>52</v>
      </c>
      <c r="H34" s="1"/>
      <c r="I34" s="13"/>
      <c r="J34" s="13"/>
      <c r="K34" s="13"/>
      <c r="L34" s="13"/>
      <c r="M34" s="13">
        <v>4</v>
      </c>
      <c r="N34" s="13">
        <v>4</v>
      </c>
      <c r="O34" s="13"/>
      <c r="P34" s="13"/>
      <c r="Q34" s="13"/>
      <c r="R34" s="13"/>
      <c r="S34" s="13"/>
      <c r="T34" s="13"/>
      <c r="U34" s="12"/>
      <c r="V34" s="12"/>
      <c r="W34" s="12"/>
      <c r="X34" s="12"/>
      <c r="Y34" s="12">
        <v>4</v>
      </c>
      <c r="Z34" s="12">
        <v>4</v>
      </c>
      <c r="AA34" s="12"/>
      <c r="AB34" s="12"/>
      <c r="AC34" s="12"/>
      <c r="AD34" s="12"/>
      <c r="AE34" s="12"/>
      <c r="AF34" s="12"/>
      <c r="AG34" s="13"/>
      <c r="AH34" s="13"/>
      <c r="AI34" s="13"/>
      <c r="AJ34" s="13"/>
      <c r="AK34" s="13">
        <v>4</v>
      </c>
      <c r="AL34" s="13">
        <v>4</v>
      </c>
      <c r="AM34" s="13"/>
      <c r="AN34" s="13"/>
      <c r="AO34" s="13"/>
      <c r="AP34" s="13"/>
      <c r="AQ34" s="13"/>
      <c r="AR34" s="13"/>
      <c r="AS34" s="12"/>
      <c r="AT34" s="12"/>
      <c r="AU34" s="12"/>
      <c r="AV34" s="12"/>
      <c r="AW34" s="12">
        <v>4</v>
      </c>
      <c r="AX34" s="12">
        <v>4</v>
      </c>
      <c r="AY34" s="12"/>
      <c r="AZ34" s="12"/>
      <c r="BA34" s="12"/>
      <c r="BB34" s="12"/>
      <c r="BC34" s="12"/>
      <c r="BD34" s="12"/>
      <c r="BE34" s="63"/>
      <c r="BF34" s="63"/>
      <c r="BG34" s="63"/>
      <c r="BH34" s="63"/>
      <c r="BI34" s="11">
        <v>5</v>
      </c>
      <c r="BJ34" s="11">
        <v>5</v>
      </c>
      <c r="BK34" s="63"/>
      <c r="BL34" s="63"/>
      <c r="BM34" s="63"/>
      <c r="BN34" s="63"/>
      <c r="BO34" s="63"/>
      <c r="BP34" s="63"/>
      <c r="BQ34" s="12"/>
      <c r="BR34" s="12"/>
      <c r="BS34" s="12"/>
      <c r="BT34" s="12"/>
      <c r="BU34" s="12">
        <v>5</v>
      </c>
      <c r="BV34" s="12">
        <v>5</v>
      </c>
      <c r="BW34" s="12"/>
      <c r="BX34" s="12"/>
      <c r="BY34" s="12"/>
      <c r="BZ34" s="12"/>
      <c r="CA34" s="12"/>
      <c r="CB34" s="12"/>
      <c r="CC34" s="9">
        <f>SUM(I34:CB34)</f>
        <v>52</v>
      </c>
      <c r="CD34" s="8"/>
      <c r="CE34" s="8"/>
      <c r="CF34" s="6"/>
      <c r="CG34" s="6"/>
      <c r="CH34" s="6"/>
      <c r="CI34" s="6"/>
      <c r="CJ34" s="6"/>
      <c r="CK34" s="6"/>
      <c r="CL34" s="6"/>
      <c r="CM34" s="7"/>
      <c r="CN34" s="7"/>
      <c r="CO34" s="7"/>
      <c r="CP34" s="7"/>
      <c r="CQ34" s="7"/>
      <c r="CR34" s="7"/>
      <c r="CS34" s="7"/>
      <c r="CT34" s="7"/>
      <c r="CU34" s="7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5">
        <f>SUM(CD34:EE34)</f>
        <v>0</v>
      </c>
      <c r="EG34" s="4">
        <f>CC34+EF34</f>
        <v>52</v>
      </c>
      <c r="EI34" s="62" t="s">
        <v>22</v>
      </c>
    </row>
    <row r="35" spans="1:139" s="3" customFormat="1" ht="18" customHeight="1">
      <c r="A35" s="61"/>
      <c r="B35" s="60" t="s">
        <v>21</v>
      </c>
      <c r="C35" s="58" t="s">
        <v>20</v>
      </c>
      <c r="D35" s="52">
        <f>CC35</f>
        <v>30</v>
      </c>
      <c r="E35" s="51">
        <f>EF35</f>
        <v>0</v>
      </c>
      <c r="F35" s="57"/>
      <c r="G35" s="41">
        <f>D35+(E35)</f>
        <v>30</v>
      </c>
      <c r="H35" s="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2"/>
      <c r="V35" s="12"/>
      <c r="W35" s="12"/>
      <c r="X35" s="12"/>
      <c r="Y35" s="12"/>
      <c r="Z35" s="12"/>
      <c r="AA35" s="12"/>
      <c r="AB35" s="12">
        <v>3</v>
      </c>
      <c r="AC35" s="12">
        <v>3</v>
      </c>
      <c r="AD35" s="12"/>
      <c r="AE35" s="12"/>
      <c r="AF35" s="12"/>
      <c r="AG35" s="13"/>
      <c r="AH35" s="13"/>
      <c r="AI35" s="13"/>
      <c r="AJ35" s="13"/>
      <c r="AK35" s="13"/>
      <c r="AL35" s="13"/>
      <c r="AM35" s="13"/>
      <c r="AN35" s="13">
        <v>3</v>
      </c>
      <c r="AO35" s="13">
        <v>3</v>
      </c>
      <c r="AP35" s="13"/>
      <c r="AQ35" s="13"/>
      <c r="AR35" s="13"/>
      <c r="AS35" s="12"/>
      <c r="AT35" s="12"/>
      <c r="AU35" s="12"/>
      <c r="AV35" s="12"/>
      <c r="AW35" s="12"/>
      <c r="AX35" s="12"/>
      <c r="AY35" s="12"/>
      <c r="AZ35" s="12">
        <v>3</v>
      </c>
      <c r="BA35" s="12">
        <v>3</v>
      </c>
      <c r="BB35" s="12"/>
      <c r="BC35" s="12"/>
      <c r="BD35" s="12"/>
      <c r="BE35" s="11"/>
      <c r="BF35" s="11"/>
      <c r="BG35" s="11"/>
      <c r="BH35" s="11"/>
      <c r="BI35" s="11"/>
      <c r="BJ35" s="11"/>
      <c r="BK35" s="11"/>
      <c r="BL35" s="11">
        <v>3</v>
      </c>
      <c r="BM35" s="11">
        <v>3</v>
      </c>
      <c r="BN35" s="11"/>
      <c r="BO35" s="11"/>
      <c r="BP35" s="11"/>
      <c r="BQ35" s="10"/>
      <c r="BR35" s="10"/>
      <c r="BS35" s="10"/>
      <c r="BT35" s="10"/>
      <c r="BU35" s="10"/>
      <c r="BV35" s="10"/>
      <c r="BW35" s="10"/>
      <c r="BX35" s="10">
        <v>3</v>
      </c>
      <c r="BY35" s="10">
        <v>3</v>
      </c>
      <c r="BZ35" s="10"/>
      <c r="CA35" s="10"/>
      <c r="CB35" s="10"/>
      <c r="CC35" s="9">
        <f>SUM(I35:CB35)</f>
        <v>30</v>
      </c>
      <c r="CD35" s="8"/>
      <c r="CE35" s="8"/>
      <c r="CF35" s="6"/>
      <c r="CG35" s="6"/>
      <c r="CH35" s="6"/>
      <c r="CI35" s="6"/>
      <c r="CJ35" s="6"/>
      <c r="CK35" s="6"/>
      <c r="CL35" s="6"/>
      <c r="CM35" s="7"/>
      <c r="CN35" s="7"/>
      <c r="CO35" s="7"/>
      <c r="CP35" s="7"/>
      <c r="CQ35" s="7"/>
      <c r="CR35" s="7"/>
      <c r="CS35" s="7"/>
      <c r="CT35" s="7"/>
      <c r="CU35" s="7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5">
        <f>SUM(CD35:EE35)</f>
        <v>0</v>
      </c>
      <c r="EG35" s="4">
        <f>CC35+EF35</f>
        <v>30</v>
      </c>
      <c r="EH35" s="3" t="s">
        <v>17</v>
      </c>
      <c r="EI35" s="2" t="s">
        <v>16</v>
      </c>
    </row>
    <row r="36" spans="1:139" s="3" customFormat="1" ht="18" customHeight="1">
      <c r="A36" s="54"/>
      <c r="B36" s="59" t="s">
        <v>19</v>
      </c>
      <c r="C36" s="58" t="s">
        <v>18</v>
      </c>
      <c r="D36" s="52">
        <f>CC36</f>
        <v>8</v>
      </c>
      <c r="E36" s="51">
        <f>EF36</f>
        <v>0</v>
      </c>
      <c r="F36" s="57"/>
      <c r="G36" s="41">
        <f>D36+(E36)</f>
        <v>8</v>
      </c>
      <c r="H36" s="56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1"/>
      <c r="BF36" s="11"/>
      <c r="BG36" s="11"/>
      <c r="BH36" s="11"/>
      <c r="BI36" s="11"/>
      <c r="BJ36" s="11"/>
      <c r="BK36" s="11">
        <v>4</v>
      </c>
      <c r="BL36" s="11"/>
      <c r="BM36" s="11"/>
      <c r="BN36" s="11"/>
      <c r="BO36" s="11"/>
      <c r="BP36" s="11"/>
      <c r="BQ36" s="10"/>
      <c r="BR36" s="10"/>
      <c r="BS36" s="10"/>
      <c r="BT36" s="10"/>
      <c r="BU36" s="10"/>
      <c r="BV36" s="10"/>
      <c r="BW36" s="10">
        <v>4</v>
      </c>
      <c r="BX36" s="10"/>
      <c r="BY36" s="10"/>
      <c r="BZ36" s="10"/>
      <c r="CA36" s="10"/>
      <c r="CB36" s="10"/>
      <c r="CC36" s="9">
        <f>SUM(I36:CB36)</f>
        <v>8</v>
      </c>
      <c r="CD36" s="8"/>
      <c r="CE36" s="55"/>
      <c r="CF36" s="6"/>
      <c r="CG36" s="6"/>
      <c r="CH36" s="6"/>
      <c r="CI36" s="6"/>
      <c r="CJ36" s="6"/>
      <c r="CK36" s="6"/>
      <c r="CL36" s="6"/>
      <c r="CM36" s="7"/>
      <c r="CN36" s="7"/>
      <c r="CO36" s="7"/>
      <c r="CP36" s="7"/>
      <c r="CQ36" s="7"/>
      <c r="CR36" s="7"/>
      <c r="CS36" s="7"/>
      <c r="CT36" s="7"/>
      <c r="CU36" s="7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5">
        <f>SUM(CD36:EE36)</f>
        <v>0</v>
      </c>
      <c r="EG36" s="4">
        <f>CC36+EF36</f>
        <v>8</v>
      </c>
      <c r="EH36" s="3" t="s">
        <v>17</v>
      </c>
      <c r="EI36" s="2" t="s">
        <v>16</v>
      </c>
    </row>
    <row r="37" spans="1:139" ht="15" customHeight="1">
      <c r="A37" s="54"/>
      <c r="B37" s="25"/>
      <c r="C37" s="28"/>
      <c r="D37" s="27"/>
      <c r="E37" s="27"/>
      <c r="F37" s="27"/>
      <c r="G37" s="26"/>
    </row>
    <row r="38" spans="1:139" ht="15">
      <c r="A38" s="53"/>
      <c r="B38" s="46" t="s">
        <v>15</v>
      </c>
      <c r="C38" s="45" t="s">
        <v>14</v>
      </c>
      <c r="D38" s="52">
        <f>CC38</f>
        <v>0</v>
      </c>
      <c r="E38" s="51"/>
      <c r="F38" s="42">
        <v>35</v>
      </c>
      <c r="G38" s="41">
        <f>D38+(E38)</f>
        <v>0</v>
      </c>
      <c r="H38" s="1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9">
        <f>SUM(I38:CB38)</f>
        <v>0</v>
      </c>
      <c r="CD38" s="8"/>
      <c r="CE38" s="8"/>
      <c r="CF38" s="6"/>
      <c r="CG38" s="6"/>
      <c r="CH38" s="6"/>
      <c r="CI38" s="6"/>
      <c r="CJ38" s="6"/>
      <c r="CK38" s="6"/>
      <c r="CL38" s="50"/>
      <c r="CM38" s="7"/>
      <c r="CN38" s="7"/>
      <c r="CO38" s="7"/>
      <c r="CP38" s="7"/>
      <c r="CQ38" s="7"/>
      <c r="CR38" s="7"/>
      <c r="CS38" s="7"/>
      <c r="CT38" s="7"/>
      <c r="CU38" s="49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7"/>
      <c r="DI38" s="7"/>
      <c r="DJ38" s="49"/>
      <c r="DK38" s="7"/>
      <c r="DL38" s="7"/>
      <c r="DM38" s="7"/>
      <c r="DN38" s="7"/>
      <c r="DO38" s="7"/>
      <c r="DP38" s="7"/>
      <c r="DQ38" s="7"/>
      <c r="DR38" s="7"/>
      <c r="DS38" s="7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5">
        <f>SUM(CD38:EE38)</f>
        <v>0</v>
      </c>
      <c r="EG38" s="4">
        <f>CC38+EF38</f>
        <v>0</v>
      </c>
    </row>
    <row r="39" spans="1:139" s="3" customFormat="1" ht="15">
      <c r="A39" s="47"/>
      <c r="B39" s="46" t="s">
        <v>12</v>
      </c>
      <c r="C39" s="45" t="s">
        <v>13</v>
      </c>
      <c r="D39" s="44"/>
      <c r="E39" s="43"/>
      <c r="F39" s="42">
        <v>40</v>
      </c>
      <c r="G39" s="41">
        <v>0</v>
      </c>
      <c r="H39" s="1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9"/>
      <c r="CD39" s="8"/>
      <c r="CE39" s="8"/>
      <c r="CF39" s="6"/>
      <c r="CG39" s="6"/>
      <c r="CH39" s="6"/>
      <c r="CI39" s="6"/>
      <c r="CJ39" s="6"/>
      <c r="CK39" s="6"/>
      <c r="CL39" s="6"/>
      <c r="CM39" s="7"/>
      <c r="CN39" s="7"/>
      <c r="CO39" s="7"/>
      <c r="CP39" s="7"/>
      <c r="CQ39" s="7"/>
      <c r="CR39" s="7"/>
      <c r="CS39" s="7"/>
      <c r="CT39" s="7"/>
      <c r="CU39" s="7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7"/>
      <c r="DI39" s="7"/>
      <c r="DJ39" s="49"/>
      <c r="DK39" s="7"/>
      <c r="DL39" s="7"/>
      <c r="DM39" s="7"/>
      <c r="DN39" s="7"/>
      <c r="DO39" s="7"/>
      <c r="DP39" s="7"/>
      <c r="DQ39" s="7"/>
      <c r="DR39" s="7"/>
      <c r="DS39" s="7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5"/>
      <c r="EG39" s="48"/>
      <c r="EI39" s="2"/>
    </row>
    <row r="40" spans="1:139" s="3" customFormat="1" ht="15">
      <c r="A40" s="47"/>
      <c r="B40" s="46" t="s">
        <v>12</v>
      </c>
      <c r="C40" s="45">
        <f>-'[1]Test 21 10 2025'!AB34</f>
        <v>0</v>
      </c>
      <c r="D40" s="44"/>
      <c r="E40" s="43"/>
      <c r="F40" s="42">
        <v>0</v>
      </c>
      <c r="G40" s="41">
        <v>0</v>
      </c>
      <c r="H40" s="1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9"/>
      <c r="CD40" s="8"/>
      <c r="CE40" s="8"/>
      <c r="CF40" s="6"/>
      <c r="CG40" s="6"/>
      <c r="CH40" s="6"/>
      <c r="CI40" s="6"/>
      <c r="CJ40" s="6"/>
      <c r="CK40" s="6"/>
      <c r="CL40" s="6"/>
      <c r="CM40" s="7"/>
      <c r="CN40" s="7"/>
      <c r="CO40" s="7"/>
      <c r="CP40" s="7"/>
      <c r="CQ40" s="7"/>
      <c r="CR40" s="7"/>
      <c r="CS40" s="7"/>
      <c r="CT40" s="7"/>
      <c r="CU40" s="7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7"/>
      <c r="DI40" s="7"/>
      <c r="DJ40" s="49"/>
      <c r="DK40" s="7"/>
      <c r="DL40" s="7"/>
      <c r="DM40" s="7"/>
      <c r="DN40" s="7"/>
      <c r="DO40" s="7"/>
      <c r="DP40" s="7"/>
      <c r="DQ40" s="7"/>
      <c r="DR40" s="7"/>
      <c r="DS40" s="7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5"/>
      <c r="EG40" s="48"/>
      <c r="EI40" s="2"/>
    </row>
    <row r="41" spans="1:139" ht="15">
      <c r="A41" s="47"/>
      <c r="B41" s="46" t="s">
        <v>11</v>
      </c>
      <c r="C41" s="45" t="s">
        <v>10</v>
      </c>
      <c r="D41" s="44"/>
      <c r="E41" s="43"/>
      <c r="F41" s="42">
        <v>40</v>
      </c>
      <c r="G41" s="41">
        <f>D41+(E41)</f>
        <v>0</v>
      </c>
      <c r="H41" s="1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9">
        <f>SUM(I41:CB41)</f>
        <v>0</v>
      </c>
      <c r="CD41" s="8"/>
      <c r="CE41" s="8"/>
      <c r="CF41" s="6"/>
      <c r="CG41" s="6"/>
      <c r="CH41" s="6"/>
      <c r="CI41" s="6"/>
      <c r="CJ41" s="6"/>
      <c r="CK41" s="6"/>
      <c r="CL41" s="6"/>
      <c r="CM41" s="7"/>
      <c r="CN41" s="7"/>
      <c r="CO41" s="7"/>
      <c r="CP41" s="7"/>
      <c r="CQ41" s="7"/>
      <c r="CR41" s="7"/>
      <c r="CS41" s="7"/>
      <c r="CT41" s="7"/>
      <c r="CU41" s="7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5">
        <f>SUM(CD41:EE41)</f>
        <v>0</v>
      </c>
      <c r="EG41" s="4">
        <f>CC41+EF41</f>
        <v>0</v>
      </c>
    </row>
    <row r="42" spans="1:139" ht="16" customHeight="1">
      <c r="A42" s="40"/>
      <c r="B42" s="25"/>
      <c r="C42" s="28"/>
      <c r="D42" s="27"/>
      <c r="E42" s="27"/>
      <c r="F42" s="27"/>
      <c r="G42" s="26"/>
    </row>
    <row r="43" spans="1:139" s="3" customFormat="1" ht="18" customHeight="1">
      <c r="A43" s="17"/>
      <c r="B43" s="39"/>
      <c r="C43" s="37" t="s">
        <v>9</v>
      </c>
      <c r="D43" s="36"/>
      <c r="E43" s="36"/>
      <c r="F43" s="36"/>
      <c r="G43" s="36"/>
      <c r="H43" s="1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9">
        <f>SUM(I43:CB43)</f>
        <v>0</v>
      </c>
      <c r="CD43" s="8"/>
      <c r="CE43" s="8"/>
      <c r="CF43" s="6"/>
      <c r="CG43" s="6"/>
      <c r="CH43" s="6"/>
      <c r="CI43" s="6"/>
      <c r="CJ43" s="6"/>
      <c r="CK43" s="6"/>
      <c r="CL43" s="6"/>
      <c r="CM43" s="7"/>
      <c r="CN43" s="7"/>
      <c r="CO43" s="7"/>
      <c r="CP43" s="7"/>
      <c r="CQ43" s="7"/>
      <c r="CR43" s="7"/>
      <c r="CS43" s="7"/>
      <c r="CT43" s="7"/>
      <c r="CU43" s="7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5">
        <f>SUM(CD43:EE43)</f>
        <v>0</v>
      </c>
      <c r="EG43" s="4">
        <f>CC43+EF43</f>
        <v>0</v>
      </c>
      <c r="EI43" s="2"/>
    </row>
    <row r="44" spans="1:139" s="3" customFormat="1" ht="18" customHeight="1">
      <c r="A44" s="17"/>
      <c r="B44" s="38"/>
      <c r="C44" s="37" t="s">
        <v>8</v>
      </c>
      <c r="D44" s="36"/>
      <c r="E44" s="36"/>
      <c r="F44" s="36"/>
      <c r="G44" s="36"/>
      <c r="H44" s="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9">
        <f>SUM(I44:CB44)</f>
        <v>0</v>
      </c>
      <c r="CD44" s="35"/>
      <c r="CE44" s="35"/>
      <c r="CF44" s="33"/>
      <c r="CG44" s="33"/>
      <c r="CH44" s="33"/>
      <c r="CI44" s="33"/>
      <c r="CJ44" s="33"/>
      <c r="CK44" s="33"/>
      <c r="CL44" s="33"/>
      <c r="CM44" s="34"/>
      <c r="CN44" s="34"/>
      <c r="CO44" s="34"/>
      <c r="CP44" s="34"/>
      <c r="CQ44" s="34"/>
      <c r="CR44" s="34"/>
      <c r="CS44" s="34"/>
      <c r="CT44" s="34"/>
      <c r="CU44" s="34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5">
        <f>SUM(CD44:EE44)</f>
        <v>0</v>
      </c>
      <c r="EG44" s="4">
        <f>CC44+EF44</f>
        <v>0</v>
      </c>
      <c r="EI44" s="2"/>
    </row>
    <row r="45" spans="1:139" s="3" customFormat="1" ht="18" customHeight="1">
      <c r="A45" s="17"/>
      <c r="B45" s="38"/>
      <c r="C45" s="37" t="s">
        <v>7</v>
      </c>
      <c r="D45" s="36"/>
      <c r="E45" s="36"/>
      <c r="F45" s="36"/>
      <c r="G45" s="36"/>
      <c r="H45" s="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9"/>
      <c r="CD45" s="35"/>
      <c r="CE45" s="35"/>
      <c r="CF45" s="33"/>
      <c r="CG45" s="33"/>
      <c r="CH45" s="33"/>
      <c r="CI45" s="33"/>
      <c r="CJ45" s="33"/>
      <c r="CK45" s="33"/>
      <c r="CL45" s="33"/>
      <c r="CM45" s="34"/>
      <c r="CN45" s="34"/>
      <c r="CO45" s="34"/>
      <c r="CP45" s="34"/>
      <c r="CQ45" s="34"/>
      <c r="CR45" s="34"/>
      <c r="CS45" s="34"/>
      <c r="CT45" s="34"/>
      <c r="CU45" s="34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5"/>
      <c r="EG45" s="4"/>
      <c r="EI45" s="2"/>
    </row>
    <row r="46" spans="1:139" s="3" customFormat="1" ht="18" customHeight="1">
      <c r="A46" s="17"/>
      <c r="B46" s="38"/>
      <c r="C46" s="37" t="s">
        <v>6</v>
      </c>
      <c r="D46" s="36"/>
      <c r="E46" s="36"/>
      <c r="F46" s="36"/>
      <c r="G46" s="36"/>
      <c r="H46" s="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9">
        <f>SUM(I46:CB46)</f>
        <v>0</v>
      </c>
      <c r="CD46" s="35"/>
      <c r="CE46" s="35"/>
      <c r="CF46" s="33"/>
      <c r="CG46" s="33"/>
      <c r="CH46" s="33"/>
      <c r="CI46" s="33"/>
      <c r="CJ46" s="33"/>
      <c r="CK46" s="33"/>
      <c r="CL46" s="33"/>
      <c r="CM46" s="34"/>
      <c r="CN46" s="34"/>
      <c r="CO46" s="34"/>
      <c r="CP46" s="34"/>
      <c r="CQ46" s="34"/>
      <c r="CR46" s="34"/>
      <c r="CS46" s="34"/>
      <c r="CT46" s="34"/>
      <c r="CU46" s="34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5">
        <f>SUM(CD46:EE46)</f>
        <v>0</v>
      </c>
      <c r="EG46" s="4">
        <f>CC46+EF46</f>
        <v>0</v>
      </c>
      <c r="EI46" s="2"/>
    </row>
    <row r="47" spans="1:139" s="3" customFormat="1" ht="18" customHeight="1">
      <c r="B47" s="25"/>
      <c r="C47" s="28"/>
      <c r="D47" s="27"/>
      <c r="E47" s="27"/>
      <c r="F47" s="27"/>
      <c r="G47" s="26"/>
      <c r="EI47" s="2"/>
    </row>
    <row r="48" spans="1:139" s="3" customFormat="1" ht="18" customHeight="1">
      <c r="A48" s="32" t="s">
        <v>5</v>
      </c>
      <c r="B48" s="31"/>
      <c r="C48" s="30" t="s">
        <v>4</v>
      </c>
      <c r="D48" s="29"/>
      <c r="E48" s="29"/>
      <c r="F48" s="29"/>
      <c r="G48" s="29"/>
      <c r="H48" s="1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9">
        <f>SUM(I48:CB48)</f>
        <v>0</v>
      </c>
      <c r="CD48" s="20"/>
      <c r="CE48" s="20"/>
      <c r="CF48" s="18"/>
      <c r="CG48" s="18"/>
      <c r="CH48" s="18"/>
      <c r="CI48" s="18"/>
      <c r="CJ48" s="18"/>
      <c r="CK48" s="18"/>
      <c r="CL48" s="18"/>
      <c r="CM48" s="19"/>
      <c r="CN48" s="19"/>
      <c r="CO48" s="19"/>
      <c r="CP48" s="19"/>
      <c r="CQ48" s="19"/>
      <c r="CR48" s="19"/>
      <c r="CS48" s="19"/>
      <c r="CT48" s="19"/>
      <c r="CU48" s="19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5">
        <f>SUM(CD48:EE48)</f>
        <v>0</v>
      </c>
      <c r="EG48" s="4">
        <f>CC48+EF48</f>
        <v>0</v>
      </c>
      <c r="EI48" s="2"/>
    </row>
    <row r="49" spans="1:139" s="3" customFormat="1" ht="18" customHeight="1">
      <c r="A49" s="32"/>
      <c r="B49" s="31"/>
      <c r="C49" s="30" t="s">
        <v>3</v>
      </c>
      <c r="D49" s="29"/>
      <c r="E49" s="29"/>
      <c r="F49" s="29"/>
      <c r="G49" s="29"/>
      <c r="H49" s="1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9">
        <f>SUM(I49:CB49)</f>
        <v>0</v>
      </c>
      <c r="CD49" s="20"/>
      <c r="CE49" s="20"/>
      <c r="CF49" s="18"/>
      <c r="CG49" s="18"/>
      <c r="CH49" s="18"/>
      <c r="CI49" s="18"/>
      <c r="CJ49" s="18"/>
      <c r="CK49" s="18"/>
      <c r="CL49" s="18"/>
      <c r="CM49" s="19"/>
      <c r="CN49" s="19"/>
      <c r="CO49" s="19"/>
      <c r="CP49" s="19"/>
      <c r="CQ49" s="19"/>
      <c r="CR49" s="19"/>
      <c r="CS49" s="19"/>
      <c r="CT49" s="19"/>
      <c r="CU49" s="19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5">
        <f>SUM(CD49:EE49)</f>
        <v>0</v>
      </c>
      <c r="EG49" s="4">
        <f>CC49+EF49</f>
        <v>0</v>
      </c>
      <c r="EI49" s="2"/>
    </row>
    <row r="50" spans="1:139" s="3" customFormat="1" ht="18" customHeight="1">
      <c r="A50" s="32"/>
      <c r="B50" s="31"/>
      <c r="C50" s="30" t="s">
        <v>2</v>
      </c>
      <c r="D50" s="29"/>
      <c r="E50" s="29"/>
      <c r="F50" s="29"/>
      <c r="G50" s="29"/>
      <c r="H50" s="1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9">
        <f>SUM(I50:CB50)</f>
        <v>0</v>
      </c>
      <c r="CD50" s="20"/>
      <c r="CE50" s="20"/>
      <c r="CF50" s="18"/>
      <c r="CG50" s="18"/>
      <c r="CH50" s="18"/>
      <c r="CI50" s="18"/>
      <c r="CJ50" s="18"/>
      <c r="CK50" s="18"/>
      <c r="CL50" s="18"/>
      <c r="CM50" s="19"/>
      <c r="CN50" s="19"/>
      <c r="CO50" s="19"/>
      <c r="CP50" s="19"/>
      <c r="CQ50" s="19"/>
      <c r="CR50" s="19"/>
      <c r="CS50" s="19"/>
      <c r="CT50" s="19"/>
      <c r="CU50" s="19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5">
        <f>SUM(CD50:EE50)</f>
        <v>0</v>
      </c>
      <c r="EG50" s="4">
        <f>CC50+EF50</f>
        <v>0</v>
      </c>
      <c r="EI50" s="2"/>
    </row>
    <row r="51" spans="1:139" s="3" customFormat="1" ht="18" customHeight="1">
      <c r="A51" s="32"/>
      <c r="B51" s="31"/>
      <c r="C51" s="30" t="s">
        <v>1</v>
      </c>
      <c r="D51" s="29"/>
      <c r="E51" s="29"/>
      <c r="F51" s="29"/>
      <c r="G51" s="29"/>
      <c r="H51" s="1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9"/>
      <c r="CD51" s="20"/>
      <c r="CE51" s="20"/>
      <c r="CF51" s="18"/>
      <c r="CG51" s="18"/>
      <c r="CH51" s="18"/>
      <c r="CI51" s="18"/>
      <c r="CJ51" s="18"/>
      <c r="CK51" s="18"/>
      <c r="CL51" s="18"/>
      <c r="CM51" s="19"/>
      <c r="CN51" s="19"/>
      <c r="CO51" s="19"/>
      <c r="CP51" s="19"/>
      <c r="CQ51" s="19"/>
      <c r="CR51" s="19"/>
      <c r="CS51" s="19"/>
      <c r="CT51" s="19"/>
      <c r="CU51" s="19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5"/>
      <c r="EG51" s="4"/>
      <c r="EI51" s="2"/>
    </row>
    <row r="52" spans="1:139" s="3" customFormat="1" ht="18" customHeight="1">
      <c r="B52" s="25"/>
      <c r="C52" s="28"/>
      <c r="D52" s="27"/>
      <c r="E52" s="27"/>
      <c r="F52" s="27"/>
      <c r="G52" s="26"/>
      <c r="H52" s="1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9">
        <f>SUM(I52:CB52)</f>
        <v>0</v>
      </c>
      <c r="CD52" s="20"/>
      <c r="CE52" s="20"/>
      <c r="CF52" s="18"/>
      <c r="CG52" s="18"/>
      <c r="CH52" s="18"/>
      <c r="CI52" s="18"/>
      <c r="CJ52" s="18"/>
      <c r="CK52" s="18"/>
      <c r="CL52" s="18"/>
      <c r="CM52" s="19"/>
      <c r="CN52" s="19"/>
      <c r="CO52" s="19"/>
      <c r="CP52" s="19"/>
      <c r="CQ52" s="19"/>
      <c r="CR52" s="19"/>
      <c r="CS52" s="19"/>
      <c r="CT52" s="19"/>
      <c r="CU52" s="19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5">
        <f>SUM(CD52:EE52)</f>
        <v>0</v>
      </c>
      <c r="EG52" s="4">
        <f>CC52+EF52</f>
        <v>0</v>
      </c>
      <c r="EI52" s="2"/>
    </row>
    <row r="53" spans="1:139" s="3" customFormat="1" ht="18" customHeight="1">
      <c r="A53" s="17"/>
      <c r="B53" s="16"/>
      <c r="C53" s="15"/>
      <c r="D53" s="14"/>
      <c r="E53" s="14"/>
      <c r="F53" s="14"/>
      <c r="G53" s="14"/>
      <c r="H53" s="1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9">
        <f>SUM(I53:CB53)</f>
        <v>0</v>
      </c>
      <c r="CD53" s="8"/>
      <c r="CE53" s="8"/>
      <c r="CF53" s="6"/>
      <c r="CG53" s="6"/>
      <c r="CH53" s="6"/>
      <c r="CI53" s="6"/>
      <c r="CJ53" s="6"/>
      <c r="CK53" s="6"/>
      <c r="CL53" s="6"/>
      <c r="CM53" s="7"/>
      <c r="CN53" s="7"/>
      <c r="CO53" s="7"/>
      <c r="CP53" s="7"/>
      <c r="CQ53" s="7"/>
      <c r="CR53" s="7"/>
      <c r="CS53" s="7"/>
      <c r="CT53" s="7"/>
      <c r="CU53" s="7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5">
        <f>SUM(CD53:EE53)</f>
        <v>0</v>
      </c>
      <c r="EG53" s="4">
        <f>CC53+EF53</f>
        <v>0</v>
      </c>
      <c r="EI53" s="2"/>
    </row>
    <row r="54" spans="1:139" ht="15" customHeight="1"/>
    <row r="55" spans="1:139" ht="15" customHeight="1"/>
    <row r="56" spans="1:139" ht="15" customHeight="1"/>
    <row r="57" spans="1:139" ht="15" customHeight="1"/>
    <row r="58" spans="1:139" ht="15" customHeight="1"/>
    <row r="59" spans="1:139" ht="15" customHeight="1"/>
    <row r="60" spans="1:139" ht="15" customHeight="1"/>
    <row r="61" spans="1:139" ht="15" customHeight="1"/>
    <row r="62" spans="1:139" ht="15" customHeight="1"/>
    <row r="63" spans="1:139" ht="15" customHeight="1"/>
    <row r="64" spans="1:139" ht="15" customHeight="1"/>
    <row r="65" spans="1:140" ht="15" customHeight="1"/>
    <row r="66" spans="1:140" s="3" customFormat="1" ht="15" customHeight="1">
      <c r="A66" s="1"/>
      <c r="B66" s="1"/>
      <c r="C66" s="1"/>
      <c r="D66" s="1"/>
      <c r="E66" s="1"/>
      <c r="F66" s="1"/>
      <c r="G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2"/>
      <c r="EJ66" s="1"/>
    </row>
    <row r="67" spans="1:140" s="3" customFormat="1" ht="15" customHeight="1">
      <c r="A67" s="1"/>
      <c r="B67" s="1"/>
      <c r="C67" s="1"/>
      <c r="D67" s="1"/>
      <c r="E67" s="1"/>
      <c r="F67" s="1"/>
      <c r="G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2"/>
      <c r="EJ67" s="1"/>
    </row>
    <row r="68" spans="1:140" s="3" customFormat="1" ht="15" customHeight="1">
      <c r="A68" s="1"/>
      <c r="B68" s="1"/>
      <c r="C68" s="1"/>
      <c r="D68" s="1"/>
      <c r="E68" s="1"/>
      <c r="F68" s="1"/>
      <c r="G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2"/>
      <c r="EJ68" s="1"/>
    </row>
    <row r="69" spans="1:140" s="3" customFormat="1" ht="15" customHeight="1">
      <c r="A69" s="1"/>
      <c r="B69" s="1"/>
      <c r="C69" s="1"/>
      <c r="D69" s="1"/>
      <c r="E69" s="1"/>
      <c r="F69" s="1"/>
      <c r="G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2"/>
      <c r="EJ69" s="1"/>
    </row>
    <row r="70" spans="1:140" s="3" customFormat="1" ht="15" customHeight="1">
      <c r="A70" s="1"/>
      <c r="B70" s="1"/>
      <c r="C70" s="1"/>
      <c r="D70" s="1"/>
      <c r="E70" s="1"/>
      <c r="F70" s="1"/>
      <c r="G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2"/>
      <c r="EJ70" s="1"/>
    </row>
    <row r="71" spans="1:140" s="3" customFormat="1" ht="15" customHeight="1">
      <c r="A71" s="1"/>
      <c r="B71" s="1"/>
      <c r="C71" s="1"/>
      <c r="D71" s="1"/>
      <c r="E71" s="1"/>
      <c r="F71" s="1"/>
      <c r="G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2"/>
      <c r="EJ71" s="1"/>
    </row>
    <row r="72" spans="1:140" s="3" customFormat="1" ht="15" customHeight="1">
      <c r="A72" s="1"/>
      <c r="B72" s="1"/>
      <c r="C72" s="1"/>
      <c r="D72" s="1"/>
      <c r="E72" s="1"/>
      <c r="F72" s="1"/>
      <c r="G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2"/>
      <c r="EJ72" s="1"/>
    </row>
  </sheetData>
  <mergeCells count="19">
    <mergeCell ref="BQ16:CB16"/>
    <mergeCell ref="CD16:CL16"/>
    <mergeCell ref="CM16:CU16"/>
    <mergeCell ref="CV16:DG16"/>
    <mergeCell ref="A15:C16"/>
    <mergeCell ref="D15:G15"/>
    <mergeCell ref="I15:BD15"/>
    <mergeCell ref="BE15:CB15"/>
    <mergeCell ref="CD15:DG15"/>
    <mergeCell ref="DH16:DS16"/>
    <mergeCell ref="DT16:EE16"/>
    <mergeCell ref="EF16:EF17"/>
    <mergeCell ref="EG16:EG17"/>
    <mergeCell ref="DH15:EC15"/>
    <mergeCell ref="I16:T16"/>
    <mergeCell ref="U16:AF16"/>
    <mergeCell ref="AG16:AR16"/>
    <mergeCell ref="AS16:BD16"/>
    <mergeCell ref="BE16:BP16"/>
  </mergeCells>
  <hyperlinks>
    <hyperlink ref="C3" location="RU!A1" display="Ruth" xr:uid="{C99A6547-4E14-E049-A5EB-5C5FEDF2D4BC}"/>
    <hyperlink ref="C5" location="CB!A1" display="Christiaan" xr:uid="{666DE193-F044-4E42-8BF5-5FC2D49B01CC}"/>
    <hyperlink ref="C6" location="JB!A1" display="Johann" xr:uid="{D095DE11-BC9B-B142-8969-606732DEE89E}"/>
    <hyperlink ref="C10" location="RvdW!A1" display="Rev" xr:uid="{D1835E51-2285-C64A-A470-3ED57272DC20}"/>
    <hyperlink ref="C11" location="TvdW!A1" display="Tobie" xr:uid="{C1359C27-5448-A546-98DF-A9B52F04B24D}"/>
    <hyperlink ref="C23" location="RU!A1" display="Ruth" xr:uid="{D526E3F0-5BBF-D646-8FF1-88B4C5C597C8}"/>
    <hyperlink ref="C18" location="RU!A1" display="Ruth" xr:uid="{4B863CE3-14C9-9741-985C-1F31F7A11A0F}"/>
    <hyperlink ref="C46" location="TvdW!A1" display="Tobie" xr:uid="{F99F5F29-456D-4B45-9741-C8210F9A94F5}"/>
    <hyperlink ref="C35" location="RvdW!A1" display="Rev" xr:uid="{CE3128CE-9F01-1E47-A2B9-AB3C87DC911C}"/>
    <hyperlink ref="C32" location="CB!A1" display="Christiaan" xr:uid="{59C6D850-D91F-834B-AD32-706BE9BF81A4}"/>
    <hyperlink ref="C43" location="TvdW!A1" display="Tobie" xr:uid="{81F875B5-D8BF-D449-8BB3-D297E17325C2}"/>
    <hyperlink ref="C19" location="RU!A1" display="Ruth" xr:uid="{18B8FD6D-FDA5-E644-AA53-BB6C005B01FD}"/>
    <hyperlink ref="C33" location="JB!A1" display="Johann" xr:uid="{672944B9-28A4-1E43-953D-EE0D56F667E5}"/>
    <hyperlink ref="C36" location="RvdW!A1" display="Rev" xr:uid="{2F7CA5A2-3D33-D448-85E4-5547B87CECF5}"/>
    <hyperlink ref="C44" location="TvdW!A1" display="Tobie" xr:uid="{A6923872-6C3E-7549-ADF4-13C4CA9F38D7}"/>
  </hyperlink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Jan (2)</vt:lpstr>
      <vt:lpstr>'2026 Jan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Tobie van der Westhuizen</dc:creator>
  <cp:lastModifiedBy>Tobie van der Westhuizen</cp:lastModifiedBy>
  <dcterms:created xsi:type="dcterms:W3CDTF">2026-01-12T08:17:59Z</dcterms:created>
  <dcterms:modified xsi:type="dcterms:W3CDTF">2026-01-12T08:18:34Z</dcterms:modified>
</cp:coreProperties>
</file>